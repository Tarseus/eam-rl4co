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S\eam_paper\"/>
    </mc:Choice>
  </mc:AlternateContent>
  <xr:revisionPtr revIDLastSave="0" documentId="13_ncr:1_{B54F0CE2-CAF3-40AB-BFF9-AAB374B34672}" xr6:coauthVersionLast="47" xr6:coauthVersionMax="47" xr10:uidLastSave="{00000000-0000-0000-0000-000000000000}"/>
  <bookViews>
    <workbookView xWindow="-103" yWindow="-103" windowWidth="24892" windowHeight="14914" xr2:uid="{61404547-1A22-4B15-AEB8-D83B762D4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7" i="1" l="1"/>
  <c r="Z106" i="1"/>
  <c r="AC107" i="1"/>
  <c r="AC106" i="1"/>
  <c r="AI86" i="1"/>
  <c r="AH86" i="1"/>
  <c r="AI84" i="1"/>
  <c r="AH84" i="1"/>
  <c r="AF86" i="1"/>
  <c r="AF84" i="1"/>
  <c r="AE86" i="1"/>
  <c r="AE84" i="1"/>
  <c r="S91" i="1"/>
  <c r="T91" i="1"/>
  <c r="S90" i="1"/>
  <c r="T90" i="1"/>
  <c r="S89" i="1"/>
  <c r="T89" i="1"/>
  <c r="AL89" i="1"/>
  <c r="AK89" i="1"/>
  <c r="AB89" i="1"/>
  <c r="V91" i="1"/>
  <c r="W91" i="1"/>
  <c r="X91" i="1"/>
  <c r="Y91" i="1"/>
  <c r="Z91" i="1"/>
  <c r="AA91" i="1"/>
  <c r="AB91" i="1"/>
  <c r="AC91" i="1"/>
  <c r="AD91" i="1"/>
  <c r="AM89" i="1"/>
  <c r="AN89" i="1"/>
  <c r="AO89" i="1"/>
  <c r="AP89" i="1"/>
  <c r="V90" i="1"/>
  <c r="W90" i="1"/>
  <c r="X90" i="1"/>
  <c r="Y90" i="1"/>
  <c r="Z90" i="1"/>
  <c r="AA90" i="1"/>
  <c r="AB90" i="1"/>
  <c r="AC90" i="1"/>
  <c r="AD90" i="1"/>
  <c r="AG90" i="1"/>
  <c r="AJ90" i="1"/>
  <c r="V89" i="1"/>
  <c r="W89" i="1"/>
  <c r="X89" i="1"/>
  <c r="Y89" i="1"/>
  <c r="Z89" i="1"/>
  <c r="AA89" i="1"/>
  <c r="AC89" i="1"/>
  <c r="AD89" i="1"/>
  <c r="AG89" i="1"/>
  <c r="AJ89" i="1"/>
  <c r="U91" i="1"/>
  <c r="U90" i="1"/>
  <c r="U89" i="1"/>
  <c r="F49" i="1"/>
  <c r="C49" i="1"/>
  <c r="F48" i="1"/>
  <c r="C48" i="1"/>
  <c r="F41" i="1"/>
  <c r="G41" i="1"/>
  <c r="C43" i="1"/>
  <c r="D43" i="1"/>
  <c r="E43" i="1"/>
  <c r="B43" i="1"/>
  <c r="C42" i="1"/>
  <c r="D42" i="1"/>
  <c r="E42" i="1"/>
  <c r="B42" i="1"/>
  <c r="C41" i="1"/>
  <c r="D41" i="1"/>
  <c r="E41" i="1"/>
  <c r="B41" i="1"/>
  <c r="U14" i="1"/>
  <c r="U13" i="1"/>
  <c r="R14" i="1"/>
  <c r="R13" i="1"/>
  <c r="R12" i="1"/>
  <c r="U12" i="1"/>
  <c r="U16" i="1"/>
  <c r="U15" i="1"/>
  <c r="R16" i="1"/>
  <c r="R15" i="1"/>
  <c r="AA7" i="1"/>
  <c r="AA6" i="1"/>
  <c r="X7" i="1"/>
  <c r="X6" i="1"/>
  <c r="R7" i="1"/>
  <c r="U7" i="1"/>
  <c r="U6" i="1"/>
  <c r="R6" i="1"/>
  <c r="C5" i="1"/>
  <c r="F5" i="1"/>
  <c r="C6" i="1"/>
  <c r="F6" i="1"/>
  <c r="C7" i="1"/>
  <c r="F7" i="1"/>
  <c r="C8" i="1"/>
  <c r="F8" i="1"/>
  <c r="C9" i="1"/>
  <c r="F9" i="1"/>
  <c r="C10" i="1"/>
  <c r="F10" i="1"/>
  <c r="C11" i="1"/>
  <c r="F11" i="1"/>
  <c r="C12" i="1"/>
  <c r="F12" i="1"/>
  <c r="C13" i="1"/>
  <c r="F13" i="1"/>
  <c r="C14" i="1"/>
  <c r="F14" i="1"/>
  <c r="C15" i="1"/>
  <c r="F15" i="1"/>
  <c r="F22" i="1"/>
  <c r="F21" i="1"/>
  <c r="C22" i="1"/>
  <c r="C21" i="1"/>
  <c r="L6" i="1"/>
  <c r="L7" i="1"/>
  <c r="L8" i="1"/>
  <c r="L9" i="1"/>
  <c r="L10" i="1"/>
  <c r="L11" i="1"/>
  <c r="L12" i="1"/>
  <c r="L13" i="1"/>
  <c r="L14" i="1"/>
  <c r="L15" i="1"/>
  <c r="L5" i="1"/>
  <c r="I6" i="1"/>
  <c r="I7" i="1"/>
  <c r="I8" i="1"/>
  <c r="I9" i="1"/>
  <c r="I10" i="1"/>
  <c r="I11" i="1"/>
  <c r="I12" i="1"/>
  <c r="I13" i="1"/>
  <c r="I14" i="1"/>
  <c r="I15" i="1"/>
  <c r="I5" i="1"/>
</calcChain>
</file>

<file path=xl/sharedStrings.xml><?xml version="1.0" encoding="utf-8"?>
<sst xmlns="http://schemas.openxmlformats.org/spreadsheetml/2006/main" count="602" uniqueCount="188">
  <si>
    <t>TSP100</t>
    <phoneticPr fontId="1" type="noConversion"/>
  </si>
  <si>
    <t>TSP50</t>
    <phoneticPr fontId="1" type="noConversion"/>
  </si>
  <si>
    <t>Cost</t>
    <phoneticPr fontId="1" type="noConversion"/>
  </si>
  <si>
    <t>Gap</t>
    <phoneticPr fontId="1" type="noConversion"/>
  </si>
  <si>
    <t>Time</t>
    <phoneticPr fontId="1" type="noConversion"/>
  </si>
  <si>
    <t>AM</t>
    <phoneticPr fontId="1" type="noConversion"/>
  </si>
  <si>
    <t>EAM-AM</t>
    <phoneticPr fontId="1" type="noConversion"/>
  </si>
  <si>
    <t>POMO-8 aug</t>
    <phoneticPr fontId="1" type="noConversion"/>
  </si>
  <si>
    <t>EAM-POMO-8 aug</t>
    <phoneticPr fontId="1" type="noConversion"/>
  </si>
  <si>
    <t>CVRP50</t>
    <phoneticPr fontId="1" type="noConversion"/>
  </si>
  <si>
    <t>CVRP100</t>
    <phoneticPr fontId="1" type="noConversion"/>
  </si>
  <si>
    <t>SymNCO-8 aug</t>
    <phoneticPr fontId="1" type="noConversion"/>
  </si>
  <si>
    <t>EAM-SymNCO-8 aug</t>
    <phoneticPr fontId="1" type="noConversion"/>
  </si>
  <si>
    <t>PCTSP100</t>
    <phoneticPr fontId="1" type="noConversion"/>
  </si>
  <si>
    <t>TSP</t>
    <phoneticPr fontId="1" type="noConversion"/>
  </si>
  <si>
    <t>N</t>
    <phoneticPr fontId="1" type="noConversion"/>
  </si>
  <si>
    <t>\rho</t>
    <phoneticPr fontId="1" type="noConversion"/>
  </si>
  <si>
    <t>\alpha</t>
    <phoneticPr fontId="1" type="noConversion"/>
  </si>
  <si>
    <t>\beta</t>
    <phoneticPr fontId="1" type="noConversion"/>
  </si>
  <si>
    <t>CVRP</t>
    <phoneticPr fontId="1" type="noConversion"/>
  </si>
  <si>
    <t>PCTSP</t>
    <phoneticPr fontId="1" type="noConversion"/>
  </si>
  <si>
    <t>OP</t>
    <phoneticPr fontId="1" type="noConversion"/>
  </si>
  <si>
    <t>sym CVRP100</t>
    <phoneticPr fontId="1" type="noConversion"/>
  </si>
  <si>
    <t>ea_epoch = 70</t>
    <phoneticPr fontId="1" type="noConversion"/>
  </si>
  <si>
    <t>pctsp 100</t>
    <phoneticPr fontId="1" type="noConversion"/>
  </si>
  <si>
    <t>ea_epoch = 20</t>
    <phoneticPr fontId="1" type="noConversion"/>
  </si>
  <si>
    <t>2s</t>
    <phoneticPr fontId="1" type="noConversion"/>
  </si>
  <si>
    <t>op100</t>
    <phoneticPr fontId="1" type="noConversion"/>
  </si>
  <si>
    <t>ea_epoch=50</t>
    <phoneticPr fontId="1" type="noConversion"/>
  </si>
  <si>
    <t>Concorde</t>
    <phoneticPr fontId="1" type="noConversion"/>
  </si>
  <si>
    <t>HGS</t>
    <phoneticPr fontId="1" type="noConversion"/>
  </si>
  <si>
    <t>7479s</t>
    <phoneticPr fontId="1" type="noConversion"/>
  </si>
  <si>
    <t>12900s</t>
    <phoneticPr fontId="1" type="noConversion"/>
  </si>
  <si>
    <t>LKH3</t>
    <phoneticPr fontId="1" type="noConversion"/>
  </si>
  <si>
    <t>64s</t>
    <phoneticPr fontId="1" type="noConversion"/>
  </si>
  <si>
    <t>19s</t>
    <phoneticPr fontId="1" type="noConversion"/>
  </si>
  <si>
    <t>63s</t>
    <phoneticPr fontId="1" type="noConversion"/>
  </si>
  <si>
    <t>5s</t>
    <phoneticPr fontId="1" type="noConversion"/>
  </si>
  <si>
    <t>10s</t>
    <phoneticPr fontId="1" type="noConversion"/>
  </si>
  <si>
    <t>9s</t>
    <phoneticPr fontId="1" type="noConversion"/>
  </si>
  <si>
    <t>15s</t>
    <phoneticPr fontId="1" type="noConversion"/>
  </si>
  <si>
    <t>16s</t>
    <phoneticPr fontId="1" type="noConversion"/>
  </si>
  <si>
    <t>batch size</t>
    <phoneticPr fontId="1" type="noConversion"/>
  </si>
  <si>
    <t>learning rate</t>
    <phoneticPr fontId="1" type="noConversion"/>
  </si>
  <si>
    <t>encoder layer</t>
    <phoneticPr fontId="1" type="noConversion"/>
  </si>
  <si>
    <t>embed dimension</t>
    <phoneticPr fontId="1" type="noConversion"/>
  </si>
  <si>
    <t>forward demention</t>
    <phoneticPr fontId="1" type="noConversion"/>
  </si>
  <si>
    <t xml:space="preserve">head </t>
    <phoneticPr fontId="1" type="noConversion"/>
  </si>
  <si>
    <t>epochs</t>
    <phoneticPr fontId="1" type="noConversion"/>
  </si>
  <si>
    <t>epoch size</t>
    <phoneticPr fontId="1" type="noConversion"/>
  </si>
  <si>
    <t>OP100</t>
    <phoneticPr fontId="1" type="noConversion"/>
  </si>
  <si>
    <t>48s</t>
    <phoneticPr fontId="1" type="noConversion"/>
  </si>
  <si>
    <t>47s</t>
    <phoneticPr fontId="1" type="noConversion"/>
  </si>
  <si>
    <t>12s</t>
    <phoneticPr fontId="1" type="noConversion"/>
  </si>
  <si>
    <t>13s</t>
    <phoneticPr fontId="1" type="noConversion"/>
  </si>
  <si>
    <t>28s</t>
    <phoneticPr fontId="1" type="noConversion"/>
  </si>
  <si>
    <t>77s</t>
  </si>
  <si>
    <t>29s</t>
  </si>
  <si>
    <t>29s</t>
    <phoneticPr fontId="1" type="noConversion"/>
  </si>
  <si>
    <t>77s</t>
    <phoneticPr fontId="1" type="noConversion"/>
  </si>
  <si>
    <t>78s</t>
    <phoneticPr fontId="1" type="noConversion"/>
  </si>
  <si>
    <t>1h</t>
    <phoneticPr fontId="1" type="noConversion"/>
  </si>
  <si>
    <t>2h</t>
    <phoneticPr fontId="1" type="noConversion"/>
  </si>
  <si>
    <t>-</t>
    <phoneticPr fontId="1" type="noConversion"/>
  </si>
  <si>
    <t>ILS C++</t>
    <phoneticPr fontId="1" type="noConversion"/>
  </si>
  <si>
    <t>Compass</t>
    <phoneticPr fontId="1" type="noConversion"/>
  </si>
  <si>
    <t>12h</t>
    <phoneticPr fontId="1" type="noConversion"/>
  </si>
  <si>
    <t>15m</t>
    <phoneticPr fontId="1" type="noConversion"/>
  </si>
  <si>
    <t>Cost↓</t>
    <phoneticPr fontId="1" type="noConversion"/>
  </si>
  <si>
    <t>Gap↓</t>
    <phoneticPr fontId="1" type="noConversion"/>
  </si>
  <si>
    <t>Time↓</t>
    <phoneticPr fontId="1" type="noConversion"/>
  </si>
  <si>
    <t>13.3m</t>
    <phoneticPr fontId="1" type="noConversion"/>
  </si>
  <si>
    <t>2.0m</t>
    <phoneticPr fontId="1" type="noConversion"/>
  </si>
  <si>
    <t>18.9m</t>
    <phoneticPr fontId="1" type="noConversion"/>
  </si>
  <si>
    <t>40.8m</t>
    <phoneticPr fontId="1" type="noConversion"/>
  </si>
  <si>
    <t>Obj↑</t>
    <phoneticPr fontId="1" type="noConversion"/>
  </si>
  <si>
    <t>POMO, max</t>
    <phoneticPr fontId="1" type="noConversion"/>
  </si>
  <si>
    <t>EAM-POMO, max</t>
    <phoneticPr fontId="1" type="noConversion"/>
  </si>
  <si>
    <t>SymNCO, max</t>
    <phoneticPr fontId="1" type="noConversion"/>
  </si>
  <si>
    <t>EAM-SymNCO, max</t>
    <phoneticPr fontId="1" type="noConversion"/>
  </si>
  <si>
    <t>Learning rate</t>
    <phoneticPr fontId="1" type="noConversion"/>
  </si>
  <si>
    <t>The Number of Encoder Layer</t>
    <phoneticPr fontId="1" type="noConversion"/>
  </si>
  <si>
    <t>Embedding Dimension</t>
    <phoneticPr fontId="1" type="noConversion"/>
  </si>
  <si>
    <t>Attention Head Number</t>
    <phoneticPr fontId="1" type="noConversion"/>
  </si>
  <si>
    <t>Feed Forward Dimension</t>
    <phoneticPr fontId="1" type="noConversion"/>
  </si>
  <si>
    <t>Batch-size</t>
    <phoneticPr fontId="1" type="noConversion"/>
  </si>
  <si>
    <t>Epochs</t>
    <phoneticPr fontId="1" type="noConversion"/>
  </si>
  <si>
    <t>Epoch size</t>
    <phoneticPr fontId="1" type="noConversion"/>
  </si>
  <si>
    <t>The Number of Steps</t>
    <phoneticPr fontId="1" type="noConversion"/>
  </si>
  <si>
    <t>3.75M</t>
    <phoneticPr fontId="1" type="noConversion"/>
  </si>
  <si>
    <t>1.75M</t>
    <phoneticPr fontId="1" type="noConversion"/>
  </si>
  <si>
    <t>250K</t>
    <phoneticPr fontId="1" type="noConversion"/>
  </si>
  <si>
    <t>$\alpha$</t>
    <phoneticPr fontId="1" type="noConversion"/>
  </si>
  <si>
    <t>$\beta$</t>
    <phoneticPr fontId="1" type="noConversion"/>
  </si>
  <si>
    <t>Weight decay</t>
    <phoneticPr fontId="1" type="noConversion"/>
  </si>
  <si>
    <t>TSP50/100</t>
    <phoneticPr fontId="1" type="noConversion"/>
  </si>
  <si>
    <t>CVRP50/100</t>
    <phoneticPr fontId="1" type="noConversion"/>
  </si>
  <si>
    <t>1,000/1,500</t>
    <phoneticPr fontId="1" type="noConversion"/>
  </si>
  <si>
    <t>500/700</t>
    <phoneticPr fontId="1" type="noConversion"/>
  </si>
  <si>
    <t>TSP10K</t>
    <phoneticPr fontId="1" type="noConversion"/>
  </si>
  <si>
    <t>TSP100K</t>
    <phoneticPr fontId="1" type="noConversion"/>
  </si>
  <si>
    <t>TSP1K</t>
    <phoneticPr fontId="1" type="noConversion"/>
  </si>
  <si>
    <t>TSP500</t>
    <phoneticPr fontId="1" type="noConversion"/>
  </si>
  <si>
    <t>Random Insertion</t>
    <phoneticPr fontId="1" type="noConversion"/>
  </si>
  <si>
    <t>&lt;1s</t>
    <phoneticPr fontId="1" type="noConversion"/>
  </si>
  <si>
    <t>24m</t>
    <phoneticPr fontId="1" type="noConversion"/>
  </si>
  <si>
    <t>5.5m</t>
    <phoneticPr fontId="1" type="noConversion"/>
  </si>
  <si>
    <r>
      <rPr>
        <sz val="10.5"/>
        <color theme="1"/>
        <rFont val="宋体"/>
        <family val="2"/>
        <charset val="134"/>
      </rPr>
      <t>时间开销为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宋体"/>
        <family val="2"/>
        <charset val="134"/>
      </rPr>
      <t>个实例</t>
    </r>
    <phoneticPr fontId="1" type="noConversion"/>
  </si>
  <si>
    <t>从GLOPcopy来的</t>
    <phoneticPr fontId="1" type="noConversion"/>
  </si>
  <si>
    <t>40.9m</t>
    <phoneticPr fontId="1" type="noConversion"/>
  </si>
  <si>
    <t>8.2h</t>
    <phoneticPr fontId="1" type="noConversion"/>
  </si>
  <si>
    <t>13h</t>
    <phoneticPr fontId="1" type="noConversion"/>
  </si>
  <si>
    <t>5.7s</t>
    <phoneticPr fontId="1" type="noConversion"/>
  </si>
  <si>
    <t>8.1h</t>
    <phoneticPr fontId="1" type="noConversion"/>
  </si>
  <si>
    <t>1.7m</t>
    <phoneticPr fontId="1" type="noConversion"/>
  </si>
  <si>
    <t>58s</t>
    <phoneticPr fontId="1" type="noConversion"/>
  </si>
  <si>
    <t>2.1m</t>
    <phoneticPr fontId="1" type="noConversion"/>
  </si>
  <si>
    <t>KP50</t>
    <phoneticPr fontId="1" type="noConversion"/>
  </si>
  <si>
    <t>KP100</t>
    <phoneticPr fontId="1" type="noConversion"/>
  </si>
  <si>
    <t>Optimal</t>
    <phoneticPr fontId="1" type="noConversion"/>
  </si>
  <si>
    <t>Obj</t>
    <phoneticPr fontId="1" type="noConversion"/>
  </si>
  <si>
    <t>4.2m</t>
    <phoneticPr fontId="1" type="noConversion"/>
  </si>
  <si>
    <t>Greedy Heurstic</t>
    <phoneticPr fontId="1" type="noConversion"/>
  </si>
  <si>
    <t>1s</t>
    <phoneticPr fontId="1" type="noConversion"/>
  </si>
  <si>
    <t>5.8m</t>
    <phoneticPr fontId="1" type="noConversion"/>
  </si>
  <si>
    <t>POMO</t>
    <phoneticPr fontId="1" type="noConversion"/>
  </si>
  <si>
    <t>EAM-POMO</t>
    <phoneticPr fontId="1" type="noConversion"/>
  </si>
  <si>
    <t>18s</t>
    <phoneticPr fontId="1" type="noConversion"/>
  </si>
  <si>
    <t>Method</t>
    <phoneticPr fontId="1" type="noConversion"/>
  </si>
  <si>
    <t>GLOP(AM)</t>
    <phoneticPr fontId="1" type="noConversion"/>
  </si>
  <si>
    <t>GLOP(EAM-AM)</t>
    <phoneticPr fontId="1" type="noConversion"/>
  </si>
  <si>
    <t>KP</t>
    <phoneticPr fontId="1" type="noConversion"/>
  </si>
  <si>
    <t>7s</t>
    <phoneticPr fontId="1" type="noConversion"/>
  </si>
  <si>
    <t>14s</t>
    <phoneticPr fontId="1" type="noConversion"/>
  </si>
  <si>
    <t>1.6m</t>
    <phoneticPr fontId="1" type="noConversion"/>
  </si>
  <si>
    <t>4.4m</t>
    <phoneticPr fontId="1" type="noConversion"/>
  </si>
  <si>
    <t>SymNCO</t>
    <phoneticPr fontId="1" type="noConversion"/>
  </si>
  <si>
    <t>EAM-SymNCO</t>
    <phoneticPr fontId="1" type="noConversion"/>
  </si>
  <si>
    <t>AM overhaul</t>
    <phoneticPr fontId="1" type="noConversion"/>
  </si>
  <si>
    <t>POMO overhaul</t>
    <phoneticPr fontId="1" type="noConversion"/>
  </si>
  <si>
    <t>SymNCO overhaul</t>
    <phoneticPr fontId="1" type="noConversion"/>
  </si>
  <si>
    <t>RLHO</t>
    <phoneticPr fontId="1" type="noConversion"/>
  </si>
  <si>
    <t>NeuroCrossover</t>
    <phoneticPr fontId="1" type="noConversion"/>
  </si>
  <si>
    <t>27.6m</t>
    <phoneticPr fontId="1" type="noConversion"/>
  </si>
  <si>
    <t>6.1h</t>
    <phoneticPr fontId="1" type="noConversion"/>
  </si>
  <si>
    <t>7.2h</t>
    <phoneticPr fontId="1" type="noConversion"/>
  </si>
  <si>
    <t>2.1h</t>
    <phoneticPr fontId="1" type="noConversion"/>
  </si>
  <si>
    <t>9.1h</t>
    <phoneticPr fontId="1" type="noConversion"/>
  </si>
  <si>
    <t>8.5h</t>
    <phoneticPr fontId="1" type="noConversion"/>
  </si>
  <si>
    <t>1.4h</t>
    <phoneticPr fontId="1" type="noConversion"/>
  </si>
  <si>
    <t>6.4h</t>
    <phoneticPr fontId="1" type="noConversion"/>
  </si>
  <si>
    <t>Baseline</t>
    <phoneticPr fontId="1" type="noConversion"/>
  </si>
  <si>
    <t>"+GA"</t>
    <phoneticPr fontId="1" type="noConversion"/>
  </si>
  <si>
    <t>EAM</t>
    <phoneticPr fontId="1" type="noConversion"/>
  </si>
  <si>
    <t>win</t>
    <phoneticPr fontId="1" type="noConversion"/>
  </si>
  <si>
    <t>tie</t>
    <phoneticPr fontId="1" type="noConversion"/>
  </si>
  <si>
    <t>loss</t>
    <phoneticPr fontId="1" type="noConversion"/>
  </si>
  <si>
    <t xml:space="preserve">tie </t>
    <phoneticPr fontId="1" type="noConversion"/>
  </si>
  <si>
    <t>GA</t>
    <phoneticPr fontId="1" type="noConversion"/>
  </si>
  <si>
    <t>307s</t>
    <phoneticPr fontId="1" type="noConversion"/>
  </si>
  <si>
    <t>310s</t>
    <phoneticPr fontId="1" type="noConversion"/>
  </si>
  <si>
    <t>321s</t>
    <phoneticPr fontId="1" type="noConversion"/>
  </si>
  <si>
    <t>325s</t>
    <phoneticPr fontId="1" type="noConversion"/>
  </si>
  <si>
    <t>279s</t>
    <phoneticPr fontId="1" type="noConversion"/>
  </si>
  <si>
    <t>268s</t>
    <phoneticPr fontId="1" type="noConversion"/>
  </si>
  <si>
    <t>372s</t>
    <phoneticPr fontId="1" type="noConversion"/>
  </si>
  <si>
    <t>271s</t>
    <phoneticPr fontId="1" type="noConversion"/>
  </si>
  <si>
    <t>Error bar</t>
    <phoneticPr fontId="1" type="noConversion"/>
  </si>
  <si>
    <t>Objective</t>
    <phoneticPr fontId="1" type="noConversion"/>
  </si>
  <si>
    <t>CPU Time</t>
    <phoneticPr fontId="1" type="noConversion"/>
  </si>
  <si>
    <t>GPU Time</t>
    <phoneticPr fontId="1" type="noConversion"/>
  </si>
  <si>
    <t>Wall Time</t>
    <phoneticPr fontId="1" type="noConversion"/>
  </si>
  <si>
    <t>--</t>
    <phoneticPr fontId="1" type="noConversion"/>
  </si>
  <si>
    <t>-</t>
  </si>
  <si>
    <t>TSP50</t>
  </si>
  <si>
    <t>TSP100</t>
  </si>
  <si>
    <t>Cost</t>
  </si>
  <si>
    <t>Gap</t>
  </si>
  <si>
    <t>Time</t>
  </si>
  <si>
    <t>Concorde</t>
  </si>
  <si>
    <t>RLHO</t>
  </si>
  <si>
    <t>6.1h</t>
  </si>
  <si>
    <t>7.2h</t>
  </si>
  <si>
    <t>NeuroCrossover</t>
  </si>
  <si>
    <t>27.6m</t>
  </si>
  <si>
    <t>2.1h</t>
  </si>
  <si>
    <t>12.9h</t>
    <phoneticPr fontId="1" type="noConversion"/>
  </si>
  <si>
    <t>3.6h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</si>
</sst>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);[Red]\(0.000\)"/>
    <numFmt numFmtId="177" formatCode="0.00_);[Red]\(0.00\)"/>
    <numFmt numFmtId="178" formatCode="0.00_ "/>
    <numFmt numFmtId="179" formatCode="0.0%"/>
    <numFmt numFmtId="180" formatCode="0.0_ "/>
    <numFmt numFmtId="181" formatCode="0.000_ "/>
  </numFmts>
  <fonts count="7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宋体"/>
      <family val="2"/>
      <charset val="134"/>
    </font>
    <font>
      <b/>
      <sz val="11"/>
      <color theme="1"/>
      <name val="Times New Roman"/>
      <family val="1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auto="1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double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double">
        <color indexed="64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/>
      <right style="double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double">
        <color theme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quotePrefix="1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7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3" fontId="0" fillId="0" borderId="0" xfId="0" applyNumberFormat="1">
      <alignment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0" fontId="2" fillId="0" borderId="16" xfId="0" applyNumberFormat="1" applyFont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/>
    </xf>
    <xf numFmtId="180" fontId="2" fillId="0" borderId="16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0" fillId="0" borderId="16" xfId="0" applyBorder="1">
      <alignment vertical="center"/>
    </xf>
    <xf numFmtId="0" fontId="5" fillId="0" borderId="17" xfId="0" applyFont="1" applyBorder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0" borderId="2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0" fillId="0" borderId="26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176" fontId="2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0" borderId="22" xfId="0" applyNumberForma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176" fontId="2" fillId="0" borderId="26" xfId="0" applyNumberFormat="1" applyFont="1" applyBorder="1" applyAlignment="1">
      <alignment horizontal="center" vertical="center"/>
    </xf>
    <xf numFmtId="181" fontId="0" fillId="0" borderId="26" xfId="0" applyNumberFormat="1" applyBorder="1" applyAlignment="1">
      <alignment horizontal="center" vertical="center"/>
    </xf>
    <xf numFmtId="181" fontId="0" fillId="0" borderId="31" xfId="0" applyNumberForma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81" fontId="0" fillId="0" borderId="23" xfId="0" applyNumberFormat="1" applyBorder="1" applyAlignment="1">
      <alignment horizontal="center" vertical="center"/>
    </xf>
    <xf numFmtId="181" fontId="0" fillId="0" borderId="28" xfId="0" applyNumberFormat="1" applyBorder="1" applyAlignment="1">
      <alignment horizontal="center" vertical="center"/>
    </xf>
    <xf numFmtId="181" fontId="2" fillId="0" borderId="26" xfId="0" applyNumberFormat="1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left" vertical="center"/>
    </xf>
    <xf numFmtId="176" fontId="2" fillId="0" borderId="20" xfId="0" applyNumberFormat="1" applyFont="1" applyBorder="1" applyAlignment="1">
      <alignment horizontal="left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2" fillId="0" borderId="34" xfId="0" applyNumberFormat="1" applyFont="1" applyBorder="1" applyAlignment="1">
      <alignment horizontal="left" vertical="center"/>
    </xf>
    <xf numFmtId="176" fontId="2" fillId="0" borderId="33" xfId="0" applyNumberFormat="1" applyFont="1" applyBorder="1" applyAlignment="1">
      <alignment horizontal="center" vertical="center"/>
    </xf>
    <xf numFmtId="176" fontId="0" fillId="0" borderId="33" xfId="0" quotePrefix="1" applyNumberFormat="1" applyBorder="1">
      <alignment vertical="center"/>
    </xf>
    <xf numFmtId="176" fontId="0" fillId="0" borderId="3" xfId="0" quotePrefix="1" applyNumberFormat="1" applyBorder="1">
      <alignment vertical="center"/>
    </xf>
    <xf numFmtId="176" fontId="0" fillId="0" borderId="9" xfId="0" quotePrefix="1" applyNumberFormat="1" applyBorder="1">
      <alignment vertical="center"/>
    </xf>
    <xf numFmtId="176" fontId="0" fillId="0" borderId="20" xfId="0" quotePrefix="1" applyNumberFormat="1" applyBorder="1">
      <alignment vertical="center"/>
    </xf>
    <xf numFmtId="176" fontId="0" fillId="0" borderId="0" xfId="0" quotePrefix="1" applyNumberFormat="1">
      <alignment vertical="center"/>
    </xf>
    <xf numFmtId="176" fontId="0" fillId="0" borderId="21" xfId="0" quotePrefix="1" applyNumberFormat="1" applyBorder="1">
      <alignment vertical="center"/>
    </xf>
    <xf numFmtId="176" fontId="0" fillId="0" borderId="35" xfId="0" quotePrefix="1" applyNumberFormat="1" applyBorder="1">
      <alignment vertical="center"/>
    </xf>
    <xf numFmtId="176" fontId="0" fillId="0" borderId="34" xfId="0" quotePrefix="1" applyNumberFormat="1" applyBorder="1">
      <alignment vertical="center"/>
    </xf>
    <xf numFmtId="176" fontId="0" fillId="0" borderId="1" xfId="0" quotePrefix="1" applyNumberForma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6" xfId="0" applyBorder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C673-1797-4F41-850A-0FD310256871}">
  <dimension ref="A1:AP110"/>
  <sheetViews>
    <sheetView tabSelected="1" topLeftCell="Q88" zoomScale="115" zoomScaleNormal="115" workbookViewId="0">
      <selection activeCell="AC106" sqref="AC106:AC107"/>
    </sheetView>
  </sheetViews>
  <sheetFormatPr defaultRowHeight="14.15" x14ac:dyDescent="0.3"/>
  <cols>
    <col min="1" max="1" width="18.3046875" customWidth="1"/>
    <col min="2" max="13" width="9.69140625" customWidth="1"/>
    <col min="14" max="14" width="27.69140625" customWidth="1"/>
    <col min="15" max="15" width="9.69140625" customWidth="1"/>
    <col min="16" max="16" width="23.69140625" customWidth="1"/>
    <col min="17" max="28" width="9.69140625" customWidth="1"/>
  </cols>
  <sheetData>
    <row r="1" spans="1:28" ht="14.6" thickTop="1" x14ac:dyDescent="0.3">
      <c r="A1" s="18"/>
      <c r="B1" s="135" t="s">
        <v>1</v>
      </c>
      <c r="C1" s="134"/>
      <c r="D1" s="136"/>
      <c r="E1" s="134" t="s">
        <v>0</v>
      </c>
      <c r="F1" s="134"/>
      <c r="G1" s="134"/>
      <c r="H1" s="135" t="s">
        <v>9</v>
      </c>
      <c r="I1" s="134"/>
      <c r="J1" s="136"/>
      <c r="K1" s="133" t="s">
        <v>10</v>
      </c>
      <c r="L1" s="134"/>
      <c r="M1" s="134"/>
      <c r="N1" s="4" t="s">
        <v>108</v>
      </c>
      <c r="P1" s="56" t="s">
        <v>128</v>
      </c>
      <c r="Q1" s="141" t="s">
        <v>102</v>
      </c>
      <c r="R1" s="141"/>
      <c r="S1" s="141"/>
      <c r="T1" s="141" t="s">
        <v>101</v>
      </c>
      <c r="U1" s="141"/>
      <c r="V1" s="141"/>
      <c r="W1" s="141" t="s">
        <v>99</v>
      </c>
      <c r="X1" s="141"/>
      <c r="Y1" s="141"/>
      <c r="Z1" s="141" t="s">
        <v>100</v>
      </c>
      <c r="AA1" s="141"/>
      <c r="AB1" s="141"/>
    </row>
    <row r="2" spans="1:28" ht="14.6" thickBot="1" x14ac:dyDescent="0.35">
      <c r="A2" s="12"/>
      <c r="B2" s="14" t="s">
        <v>2</v>
      </c>
      <c r="C2" s="13" t="s">
        <v>3</v>
      </c>
      <c r="D2" s="22" t="s">
        <v>4</v>
      </c>
      <c r="E2" s="13" t="s">
        <v>2</v>
      </c>
      <c r="F2" s="13" t="s">
        <v>3</v>
      </c>
      <c r="G2" s="13" t="s">
        <v>4</v>
      </c>
      <c r="H2" s="14" t="s">
        <v>2</v>
      </c>
      <c r="I2" s="13" t="s">
        <v>3</v>
      </c>
      <c r="J2" s="22" t="s">
        <v>4</v>
      </c>
      <c r="K2" s="13" t="s">
        <v>2</v>
      </c>
      <c r="L2" s="13" t="s">
        <v>3</v>
      </c>
      <c r="M2" s="13" t="s">
        <v>4</v>
      </c>
      <c r="N2" s="4" t="s">
        <v>107</v>
      </c>
      <c r="P2" s="55"/>
      <c r="Q2" s="48" t="s">
        <v>2</v>
      </c>
      <c r="R2" s="48" t="s">
        <v>3</v>
      </c>
      <c r="S2" s="48" t="s">
        <v>4</v>
      </c>
      <c r="T2" s="48" t="s">
        <v>2</v>
      </c>
      <c r="U2" s="48" t="s">
        <v>3</v>
      </c>
      <c r="V2" s="48" t="s">
        <v>4</v>
      </c>
      <c r="W2" s="48" t="s">
        <v>2</v>
      </c>
      <c r="X2" s="48" t="s">
        <v>3</v>
      </c>
      <c r="Y2" s="48" t="s">
        <v>4</v>
      </c>
      <c r="Z2" s="48" t="s">
        <v>2</v>
      </c>
      <c r="AA2" s="48" t="s">
        <v>3</v>
      </c>
      <c r="AB2" s="48" t="s">
        <v>4</v>
      </c>
    </row>
    <row r="3" spans="1:28" ht="14.6" thickTop="1" x14ac:dyDescent="0.3">
      <c r="A3" s="7" t="s">
        <v>29</v>
      </c>
      <c r="B3" s="15">
        <v>5.6902999999999997</v>
      </c>
      <c r="C3" s="6" t="s">
        <v>63</v>
      </c>
      <c r="D3" s="23" t="s">
        <v>71</v>
      </c>
      <c r="E3" s="3">
        <v>7.7609000000000004</v>
      </c>
      <c r="F3" s="6" t="s">
        <v>63</v>
      </c>
      <c r="G3" s="3" t="s">
        <v>74</v>
      </c>
      <c r="H3" s="42"/>
      <c r="I3" s="33" t="s">
        <v>63</v>
      </c>
      <c r="J3" s="36"/>
      <c r="K3" s="33"/>
      <c r="L3" s="33" t="s">
        <v>63</v>
      </c>
      <c r="M3" s="33"/>
      <c r="P3" s="4" t="s">
        <v>29</v>
      </c>
      <c r="Q3" s="45">
        <v>16.55</v>
      </c>
      <c r="R3" s="4" t="s">
        <v>63</v>
      </c>
      <c r="S3" s="4" t="s">
        <v>109</v>
      </c>
      <c r="T3" s="45">
        <v>23.12</v>
      </c>
      <c r="U3" s="4" t="s">
        <v>63</v>
      </c>
      <c r="V3" s="4" t="s">
        <v>110</v>
      </c>
      <c r="W3" s="4"/>
      <c r="X3" s="4" t="s">
        <v>63</v>
      </c>
      <c r="Y3" s="4"/>
      <c r="Z3" s="4"/>
      <c r="AA3" s="4" t="s">
        <v>63</v>
      </c>
      <c r="AB3" s="4"/>
    </row>
    <row r="4" spans="1:28" x14ac:dyDescent="0.3">
      <c r="A4" s="7" t="s">
        <v>30</v>
      </c>
      <c r="B4" s="15"/>
      <c r="C4" s="3" t="s">
        <v>63</v>
      </c>
      <c r="D4" s="23"/>
      <c r="E4" s="3"/>
      <c r="F4" s="3" t="s">
        <v>63</v>
      </c>
      <c r="G4" s="3"/>
      <c r="H4" s="15">
        <v>10.3659</v>
      </c>
      <c r="I4" s="3" t="s">
        <v>63</v>
      </c>
      <c r="J4" s="23" t="s">
        <v>31</v>
      </c>
      <c r="K4" s="3">
        <v>15.585699999999999</v>
      </c>
      <c r="L4" s="3" t="s">
        <v>63</v>
      </c>
      <c r="M4" s="3" t="s">
        <v>32</v>
      </c>
      <c r="P4" s="4" t="s">
        <v>33</v>
      </c>
      <c r="Q4" s="45">
        <v>16.55</v>
      </c>
      <c r="R4" s="46">
        <v>0</v>
      </c>
      <c r="S4" s="4" t="s">
        <v>106</v>
      </c>
      <c r="T4" s="45">
        <v>23.12</v>
      </c>
      <c r="U4" s="46">
        <v>0</v>
      </c>
      <c r="V4" s="4" t="s">
        <v>105</v>
      </c>
      <c r="W4" s="45">
        <v>71.77</v>
      </c>
      <c r="X4" s="46">
        <v>0</v>
      </c>
      <c r="Y4" s="4" t="s">
        <v>111</v>
      </c>
      <c r="Z4" s="47">
        <v>226.5</v>
      </c>
      <c r="AA4" s="4" t="s">
        <v>63</v>
      </c>
      <c r="AB4" s="4" t="s">
        <v>113</v>
      </c>
    </row>
    <row r="5" spans="1:28" x14ac:dyDescent="0.3">
      <c r="A5" s="8" t="s">
        <v>33</v>
      </c>
      <c r="B5" s="16">
        <v>5.6902999999999997</v>
      </c>
      <c r="C5" s="10">
        <f>(B5-$B$3)/$B$3</f>
        <v>0</v>
      </c>
      <c r="D5" s="24" t="s">
        <v>72</v>
      </c>
      <c r="E5" s="9">
        <v>7.7609000000000004</v>
      </c>
      <c r="F5" s="10">
        <f>(E5 - $E$3) / $E$3</f>
        <v>0</v>
      </c>
      <c r="G5" s="9" t="s">
        <v>73</v>
      </c>
      <c r="H5" s="16">
        <v>10.367000000000001</v>
      </c>
      <c r="I5" s="10">
        <f t="shared" ref="I5:I15" si="0">(H5 - $H$4) / $H$4</f>
        <v>1.0611717265273532E-4</v>
      </c>
      <c r="J5" s="24" t="s">
        <v>61</v>
      </c>
      <c r="K5" s="9">
        <v>15.667299999999999</v>
      </c>
      <c r="L5" s="10">
        <f t="shared" ref="L5:L15" si="1">(K5 - $K$4) / $K$4</f>
        <v>5.2355685018959626E-3</v>
      </c>
      <c r="M5" s="9" t="s">
        <v>62</v>
      </c>
      <c r="P5" s="10" t="s">
        <v>103</v>
      </c>
      <c r="Q5" s="52">
        <v>18.59</v>
      </c>
      <c r="R5" s="53">
        <v>0.123</v>
      </c>
      <c r="S5" s="10" t="s">
        <v>104</v>
      </c>
      <c r="T5" s="52">
        <v>26.12</v>
      </c>
      <c r="U5" s="53">
        <v>0.13</v>
      </c>
      <c r="V5" s="10" t="s">
        <v>104</v>
      </c>
      <c r="W5" s="52">
        <v>81.84</v>
      </c>
      <c r="X5" s="53">
        <v>0.14000000000000001</v>
      </c>
      <c r="Y5" s="10" t="s">
        <v>112</v>
      </c>
      <c r="Z5" s="54">
        <v>258.5</v>
      </c>
      <c r="AA5" s="53">
        <v>0.14199999999999999</v>
      </c>
      <c r="AB5" s="10" t="s">
        <v>114</v>
      </c>
    </row>
    <row r="6" spans="1:28" x14ac:dyDescent="0.3">
      <c r="A6" s="18" t="s">
        <v>5</v>
      </c>
      <c r="B6" s="19">
        <v>5.7940300000000002</v>
      </c>
      <c r="C6" s="20">
        <f t="shared" ref="C6:C15" si="2">(B6-$B$3)/$B$3</f>
        <v>1.8229267349700463E-2</v>
      </c>
      <c r="D6" s="25" t="s">
        <v>26</v>
      </c>
      <c r="E6" s="11">
        <v>8.1232500000000005</v>
      </c>
      <c r="F6" s="20">
        <f t="shared" ref="F6:F15" si="3">(E6 - $E$3) / $E$3</f>
        <v>4.668917264750224E-2</v>
      </c>
      <c r="G6" s="11" t="s">
        <v>37</v>
      </c>
      <c r="H6" s="19">
        <v>10.949009999999999</v>
      </c>
      <c r="I6" s="20">
        <f t="shared" si="0"/>
        <v>5.6252713223164372E-2</v>
      </c>
      <c r="J6" s="25" t="s">
        <v>26</v>
      </c>
      <c r="K6" s="11">
        <v>16.58043</v>
      </c>
      <c r="L6" s="20">
        <f t="shared" si="1"/>
        <v>6.3823248233958088E-2</v>
      </c>
      <c r="M6" s="11" t="s">
        <v>37</v>
      </c>
      <c r="P6" s="4" t="s">
        <v>129</v>
      </c>
      <c r="Q6" s="45">
        <v>17.27</v>
      </c>
      <c r="R6" s="46">
        <f>(Q6 - Q3)/Q3</f>
        <v>4.3504531722054311E-2</v>
      </c>
      <c r="S6" s="4" t="s">
        <v>134</v>
      </c>
      <c r="T6" s="45">
        <v>24.38</v>
      </c>
      <c r="U6" s="46">
        <f>(T6-T3)/T3</f>
        <v>5.4498269896193684E-2</v>
      </c>
      <c r="V6" s="4" t="s">
        <v>135</v>
      </c>
      <c r="W6" s="45">
        <v>76.89</v>
      </c>
      <c r="X6" s="46">
        <f>(W6-W4)/W4</f>
        <v>7.1338999581998117E-2</v>
      </c>
      <c r="Y6" s="4" t="s">
        <v>115</v>
      </c>
      <c r="Z6" s="47">
        <v>242.7</v>
      </c>
      <c r="AA6" s="46">
        <f>(Z6-Z4)/Z4</f>
        <v>7.1523178807946966E-2</v>
      </c>
      <c r="AB6" s="4" t="s">
        <v>116</v>
      </c>
    </row>
    <row r="7" spans="1:28" ht="14.6" thickBot="1" x14ac:dyDescent="0.35">
      <c r="A7" s="21" t="s">
        <v>6</v>
      </c>
      <c r="B7" s="16">
        <v>5.7794999999999996</v>
      </c>
      <c r="C7" s="10">
        <f t="shared" si="2"/>
        <v>1.5675799167003488E-2</v>
      </c>
      <c r="D7" s="24" t="s">
        <v>26</v>
      </c>
      <c r="E7" s="9">
        <v>8.0713000000000008</v>
      </c>
      <c r="F7" s="10">
        <f t="shared" si="3"/>
        <v>3.9995361362728604E-2</v>
      </c>
      <c r="G7" s="9" t="s">
        <v>37</v>
      </c>
      <c r="H7" s="16">
        <v>10.89293</v>
      </c>
      <c r="I7" s="10">
        <f t="shared" si="0"/>
        <v>5.0842666821018907E-2</v>
      </c>
      <c r="J7" s="24" t="s">
        <v>26</v>
      </c>
      <c r="K7" s="9">
        <v>16.554510000000001</v>
      </c>
      <c r="L7" s="10">
        <f t="shared" si="1"/>
        <v>6.2160185298061769E-2</v>
      </c>
      <c r="M7" s="9" t="s">
        <v>37</v>
      </c>
      <c r="P7" s="48" t="s">
        <v>130</v>
      </c>
      <c r="Q7" s="49">
        <v>17.11</v>
      </c>
      <c r="R7" s="50">
        <f>(Q7 - Q3)/Q3</f>
        <v>3.383685800604222E-2</v>
      </c>
      <c r="S7" s="48" t="s">
        <v>114</v>
      </c>
      <c r="T7" s="49">
        <v>24.13</v>
      </c>
      <c r="U7" s="50">
        <f>(T7-T3)/T3</f>
        <v>4.3685121107266349E-2</v>
      </c>
      <c r="V7" s="48" t="s">
        <v>135</v>
      </c>
      <c r="W7" s="49">
        <v>76.150000000000006</v>
      </c>
      <c r="X7" s="50">
        <f>(W7-W4)/W4</f>
        <v>6.1028284798662534E-2</v>
      </c>
      <c r="Y7" s="48" t="s">
        <v>115</v>
      </c>
      <c r="Z7" s="51">
        <v>240.4</v>
      </c>
      <c r="AA7" s="50">
        <f>(Z7-Z4)/Z4</f>
        <v>6.1368653421633577E-2</v>
      </c>
      <c r="AB7" s="48" t="s">
        <v>116</v>
      </c>
    </row>
    <row r="8" spans="1:28" x14ac:dyDescent="0.3">
      <c r="A8" s="2" t="s">
        <v>76</v>
      </c>
      <c r="B8" s="15">
        <v>5.7024900000000001</v>
      </c>
      <c r="C8" s="4">
        <f t="shared" si="2"/>
        <v>2.1422420610513271E-3</v>
      </c>
      <c r="D8" s="23" t="s">
        <v>39</v>
      </c>
      <c r="E8" s="3">
        <v>7.8000699999999998</v>
      </c>
      <c r="F8" s="4">
        <f t="shared" si="3"/>
        <v>5.0470950534086869E-3</v>
      </c>
      <c r="G8" s="3" t="s">
        <v>35</v>
      </c>
      <c r="H8" s="19">
        <v>10.55475</v>
      </c>
      <c r="I8" s="20">
        <f t="shared" si="0"/>
        <v>1.8218389141319173E-2</v>
      </c>
      <c r="J8" s="41" t="s">
        <v>53</v>
      </c>
      <c r="K8" s="11">
        <v>15.89442</v>
      </c>
      <c r="L8" s="20">
        <f t="shared" si="1"/>
        <v>1.9807900832173146E-2</v>
      </c>
      <c r="M8" s="11" t="s">
        <v>55</v>
      </c>
    </row>
    <row r="9" spans="1:28" x14ac:dyDescent="0.3">
      <c r="A9" s="2" t="s">
        <v>77</v>
      </c>
      <c r="B9" s="15">
        <v>5.7016900000000001</v>
      </c>
      <c r="C9" s="4">
        <f t="shared" si="2"/>
        <v>2.0016519339930154E-3</v>
      </c>
      <c r="D9" s="23" t="s">
        <v>38</v>
      </c>
      <c r="E9" s="3">
        <v>7.7960399999999996</v>
      </c>
      <c r="F9" s="4">
        <f t="shared" si="3"/>
        <v>4.5278253810768446E-3</v>
      </c>
      <c r="G9" s="3" t="s">
        <v>35</v>
      </c>
      <c r="H9" s="15">
        <v>10.49959</v>
      </c>
      <c r="I9" s="4">
        <f t="shared" si="0"/>
        <v>1.2897095283573991E-2</v>
      </c>
      <c r="J9" s="23" t="s">
        <v>54</v>
      </c>
      <c r="K9" s="3">
        <v>15.85887</v>
      </c>
      <c r="L9" s="4">
        <f t="shared" si="1"/>
        <v>1.7526963819398576E-2</v>
      </c>
      <c r="M9" s="3" t="s">
        <v>58</v>
      </c>
      <c r="P9" s="4"/>
      <c r="Q9" s="140" t="s">
        <v>117</v>
      </c>
      <c r="R9" s="140"/>
      <c r="S9" s="140"/>
      <c r="T9" s="140" t="s">
        <v>118</v>
      </c>
      <c r="U9" s="140"/>
      <c r="V9" s="140"/>
    </row>
    <row r="10" spans="1:28" x14ac:dyDescent="0.3">
      <c r="A10" s="2" t="s">
        <v>78</v>
      </c>
      <c r="B10" s="15">
        <v>5.6983300000000003</v>
      </c>
      <c r="C10" s="4">
        <f t="shared" si="2"/>
        <v>1.4111734003480745E-3</v>
      </c>
      <c r="D10" s="23" t="s">
        <v>38</v>
      </c>
      <c r="E10" s="3">
        <v>7.7932499999999996</v>
      </c>
      <c r="F10" s="4">
        <f t="shared" si="3"/>
        <v>4.1683309925394235E-3</v>
      </c>
      <c r="G10" s="3" t="s">
        <v>35</v>
      </c>
      <c r="H10" s="15">
        <v>10.494579999999999</v>
      </c>
      <c r="I10" s="4">
        <f t="shared" si="0"/>
        <v>1.2413779797219656E-2</v>
      </c>
      <c r="J10" s="23" t="s">
        <v>54</v>
      </c>
      <c r="K10" s="3">
        <v>15.83921</v>
      </c>
      <c r="L10" s="4">
        <f t="shared" si="1"/>
        <v>1.6265551114162363E-2</v>
      </c>
      <c r="M10" s="3" t="s">
        <v>58</v>
      </c>
      <c r="Q10" s="4" t="s">
        <v>120</v>
      </c>
      <c r="R10" s="4" t="s">
        <v>3</v>
      </c>
      <c r="S10" s="4" t="s">
        <v>4</v>
      </c>
      <c r="T10" s="4" t="s">
        <v>120</v>
      </c>
      <c r="U10" s="4" t="s">
        <v>3</v>
      </c>
      <c r="V10" s="4" t="s">
        <v>4</v>
      </c>
    </row>
    <row r="11" spans="1:28" x14ac:dyDescent="0.3">
      <c r="A11" s="21" t="s">
        <v>79</v>
      </c>
      <c r="B11" s="16">
        <v>5.6982699999999999</v>
      </c>
      <c r="C11" s="10">
        <f t="shared" si="2"/>
        <v>1.4006291408186309E-3</v>
      </c>
      <c r="D11" s="24" t="s">
        <v>38</v>
      </c>
      <c r="E11" s="9">
        <v>7.7773599999999998</v>
      </c>
      <c r="F11" s="10">
        <f t="shared" si="3"/>
        <v>2.1208880413353445E-3</v>
      </c>
      <c r="G11" s="9" t="s">
        <v>35</v>
      </c>
      <c r="H11" s="16">
        <v>10.48072</v>
      </c>
      <c r="I11" s="10">
        <f t="shared" si="0"/>
        <v>1.1076703421796459E-2</v>
      </c>
      <c r="J11" s="24" t="s">
        <v>54</v>
      </c>
      <c r="K11" s="9">
        <v>15.82619</v>
      </c>
      <c r="L11" s="10">
        <f t="shared" si="1"/>
        <v>1.5430169963492254E-2</v>
      </c>
      <c r="M11" s="9" t="s">
        <v>57</v>
      </c>
      <c r="P11" s="4" t="s">
        <v>119</v>
      </c>
      <c r="Q11" s="57">
        <v>20.132055000000001</v>
      </c>
      <c r="R11" s="4" t="s">
        <v>63</v>
      </c>
      <c r="S11" s="4" t="s">
        <v>121</v>
      </c>
      <c r="T11" s="57">
        <v>40.510548</v>
      </c>
      <c r="U11" s="4" t="s">
        <v>63</v>
      </c>
      <c r="V11" s="4" t="s">
        <v>124</v>
      </c>
    </row>
    <row r="12" spans="1:28" x14ac:dyDescent="0.3">
      <c r="A12" s="2" t="s">
        <v>7</v>
      </c>
      <c r="B12" s="15">
        <v>5.6967699999999999</v>
      </c>
      <c r="C12" s="4">
        <f t="shared" si="2"/>
        <v>1.1370226525842572E-3</v>
      </c>
      <c r="D12" s="23" t="s">
        <v>40</v>
      </c>
      <c r="E12" s="3">
        <v>7.7752299999999996</v>
      </c>
      <c r="F12" s="4">
        <f t="shared" si="3"/>
        <v>1.8464353361078338E-3</v>
      </c>
      <c r="G12" s="3" t="s">
        <v>34</v>
      </c>
      <c r="H12" s="19">
        <v>10.463010000000001</v>
      </c>
      <c r="I12" s="20">
        <f t="shared" si="0"/>
        <v>9.3682169420890322E-3</v>
      </c>
      <c r="J12" s="25" t="s">
        <v>52</v>
      </c>
      <c r="K12" s="11">
        <v>15.760350000000001</v>
      </c>
      <c r="L12" s="20">
        <f t="shared" si="1"/>
        <v>1.1205784789903663E-2</v>
      </c>
      <c r="M12" s="11" t="s">
        <v>56</v>
      </c>
      <c r="P12" s="4" t="s">
        <v>122</v>
      </c>
      <c r="Q12" s="57">
        <v>20.078520000000001</v>
      </c>
      <c r="R12" s="4">
        <f>(Q11-Q12)/Q11</f>
        <v>2.6591920198906723E-3</v>
      </c>
      <c r="S12" s="4" t="s">
        <v>104</v>
      </c>
      <c r="T12" s="57">
        <v>40.463768000000002</v>
      </c>
      <c r="U12" s="4">
        <f>(T11-T12)/T11</f>
        <v>1.1547609773138164E-3</v>
      </c>
      <c r="V12" s="4" t="s">
        <v>123</v>
      </c>
    </row>
    <row r="13" spans="1:28" x14ac:dyDescent="0.3">
      <c r="A13" s="2" t="s">
        <v>8</v>
      </c>
      <c r="B13" s="15">
        <v>5.6928900000000002</v>
      </c>
      <c r="C13" s="4">
        <f t="shared" si="2"/>
        <v>4.5516053635142901E-4</v>
      </c>
      <c r="D13" s="23" t="s">
        <v>40</v>
      </c>
      <c r="E13" s="3">
        <v>7.7720500000000001</v>
      </c>
      <c r="F13" s="4">
        <f t="shared" si="3"/>
        <v>1.4366890437964373E-3</v>
      </c>
      <c r="G13" s="3" t="s">
        <v>36</v>
      </c>
      <c r="H13" s="17">
        <v>10.42229</v>
      </c>
      <c r="I13" s="4">
        <f t="shared" si="0"/>
        <v>5.4399521508021863E-3</v>
      </c>
      <c r="J13" s="23" t="s">
        <v>52</v>
      </c>
      <c r="K13" s="43">
        <v>15.73338</v>
      </c>
      <c r="L13" s="4">
        <f t="shared" si="1"/>
        <v>9.4753524063725825E-3</v>
      </c>
      <c r="M13" s="3" t="s">
        <v>59</v>
      </c>
      <c r="P13" s="4" t="s">
        <v>5</v>
      </c>
      <c r="Q13" s="57">
        <v>20.089213000000001</v>
      </c>
      <c r="R13" s="4">
        <f>(Q11-Q13)/Q11</f>
        <v>2.1280490243047851E-3</v>
      </c>
      <c r="S13" s="4" t="s">
        <v>132</v>
      </c>
      <c r="T13" s="57">
        <v>40.464886</v>
      </c>
      <c r="U13" s="4">
        <f>(T11-T13)/T11</f>
        <v>1.127163226723077E-3</v>
      </c>
      <c r="V13" s="4" t="s">
        <v>54</v>
      </c>
    </row>
    <row r="14" spans="1:28" x14ac:dyDescent="0.3">
      <c r="A14" s="2" t="s">
        <v>11</v>
      </c>
      <c r="B14" s="15">
        <v>5.6976100000000001</v>
      </c>
      <c r="C14" s="4">
        <f t="shared" si="2"/>
        <v>1.2846422859955314E-3</v>
      </c>
      <c r="D14" s="23" t="s">
        <v>40</v>
      </c>
      <c r="E14" s="3">
        <v>7.77461</v>
      </c>
      <c r="F14" s="4">
        <f t="shared" si="3"/>
        <v>1.7665476942106801E-3</v>
      </c>
      <c r="G14" s="3" t="s">
        <v>36</v>
      </c>
      <c r="H14" s="15">
        <v>10.43764</v>
      </c>
      <c r="I14" s="4">
        <f t="shared" si="0"/>
        <v>6.9207690600912742E-3</v>
      </c>
      <c r="J14" s="23" t="s">
        <v>51</v>
      </c>
      <c r="K14" s="3">
        <v>15.818009999999999</v>
      </c>
      <c r="L14" s="4">
        <f t="shared" si="1"/>
        <v>1.4905329885728586E-2</v>
      </c>
      <c r="M14" s="3" t="s">
        <v>60</v>
      </c>
      <c r="P14" s="4" t="s">
        <v>6</v>
      </c>
      <c r="Q14" s="57">
        <v>20.099008000000001</v>
      </c>
      <c r="R14" s="4">
        <f>(Q11-Q14)/Q11</f>
        <v>1.6415115098781434E-3</v>
      </c>
      <c r="S14" s="4" t="s">
        <v>132</v>
      </c>
      <c r="T14" s="57">
        <v>40.476723999999997</v>
      </c>
      <c r="U14" s="4">
        <f>(T11-T14)/T11</f>
        <v>8.3494303755167032E-4</v>
      </c>
      <c r="V14" s="4" t="s">
        <v>41</v>
      </c>
    </row>
    <row r="15" spans="1:28" x14ac:dyDescent="0.3">
      <c r="A15" s="21" t="s">
        <v>12</v>
      </c>
      <c r="B15" s="26">
        <v>5.6923300000000001</v>
      </c>
      <c r="C15" s="27">
        <f t="shared" si="2"/>
        <v>3.5674744741057948E-4</v>
      </c>
      <c r="D15" s="24" t="s">
        <v>41</v>
      </c>
      <c r="E15" s="28">
        <v>7.7739399999999996</v>
      </c>
      <c r="F15" s="27">
        <f t="shared" si="3"/>
        <v>1.6802175005475233E-3</v>
      </c>
      <c r="G15" s="9" t="s">
        <v>34</v>
      </c>
      <c r="H15" s="16">
        <v>10.426640000000001</v>
      </c>
      <c r="I15" s="10">
        <f t="shared" si="0"/>
        <v>5.8595973335649493E-3</v>
      </c>
      <c r="J15" s="24" t="s">
        <v>51</v>
      </c>
      <c r="K15" s="9">
        <v>15.80641</v>
      </c>
      <c r="L15" s="10">
        <f t="shared" si="1"/>
        <v>1.4161057892812027E-2</v>
      </c>
      <c r="M15" s="9" t="s">
        <v>60</v>
      </c>
      <c r="P15" s="4" t="s">
        <v>125</v>
      </c>
      <c r="Q15" s="57">
        <v>20.121901999999999</v>
      </c>
      <c r="R15" s="4">
        <f>(Q11-Q15)/Q11</f>
        <v>5.0432010045683463E-4</v>
      </c>
      <c r="S15" s="4" t="s">
        <v>38</v>
      </c>
      <c r="T15" s="57">
        <v>40.492432000000001</v>
      </c>
      <c r="U15" s="4">
        <f>(T11-T15)/T11</f>
        <v>4.4719217325816309E-4</v>
      </c>
      <c r="V15" s="4" t="s">
        <v>35</v>
      </c>
    </row>
    <row r="16" spans="1:28" x14ac:dyDescent="0.3">
      <c r="P16" s="4" t="s">
        <v>126</v>
      </c>
      <c r="Q16" s="57">
        <v>20.124108</v>
      </c>
      <c r="R16" s="4">
        <f>(Q11-Q16)/Q11</f>
        <v>3.9474360665125741E-4</v>
      </c>
      <c r="S16" s="4" t="s">
        <v>133</v>
      </c>
      <c r="T16" s="57">
        <v>40.502789</v>
      </c>
      <c r="U16" s="4">
        <f>(T11-T16)/T11</f>
        <v>1.915303638943633E-4</v>
      </c>
      <c r="V16" s="4" t="s">
        <v>127</v>
      </c>
    </row>
    <row r="17" spans="1:22" x14ac:dyDescent="0.3">
      <c r="A17" s="40"/>
      <c r="B17" s="135" t="s">
        <v>13</v>
      </c>
      <c r="C17" s="134"/>
      <c r="D17" s="136"/>
      <c r="E17" s="134" t="s">
        <v>21</v>
      </c>
      <c r="F17" s="134"/>
      <c r="G17" s="134"/>
    </row>
    <row r="18" spans="1:22" ht="14.6" thickBot="1" x14ac:dyDescent="0.35">
      <c r="A18" s="13"/>
      <c r="B18" s="14" t="s">
        <v>68</v>
      </c>
      <c r="C18" s="13" t="s">
        <v>69</v>
      </c>
      <c r="D18" s="22" t="s">
        <v>70</v>
      </c>
      <c r="E18" s="13" t="s">
        <v>75</v>
      </c>
      <c r="F18" s="13" t="s">
        <v>69</v>
      </c>
      <c r="G18" s="13" t="s">
        <v>70</v>
      </c>
      <c r="S18" t="s">
        <v>95</v>
      </c>
      <c r="T18" t="s">
        <v>96</v>
      </c>
      <c r="U18" t="s">
        <v>13</v>
      </c>
      <c r="V18" t="s">
        <v>50</v>
      </c>
    </row>
    <row r="19" spans="1:22" ht="14.6" thickTop="1" x14ac:dyDescent="0.3">
      <c r="A19" s="30" t="s">
        <v>64</v>
      </c>
      <c r="B19" s="31">
        <v>5.98</v>
      </c>
      <c r="C19" s="32" t="s">
        <v>63</v>
      </c>
      <c r="D19" s="36" t="s">
        <v>66</v>
      </c>
      <c r="E19" s="32"/>
      <c r="F19" s="32" t="s">
        <v>63</v>
      </c>
      <c r="G19" s="32"/>
      <c r="R19" t="s">
        <v>80</v>
      </c>
      <c r="S19" s="138">
        <v>1E-4</v>
      </c>
      <c r="T19" s="138"/>
      <c r="U19" s="138"/>
      <c r="V19" s="138"/>
    </row>
    <row r="20" spans="1:22" x14ac:dyDescent="0.3">
      <c r="A20" s="21" t="s">
        <v>65</v>
      </c>
      <c r="B20" s="34"/>
      <c r="C20" s="35" t="s">
        <v>63</v>
      </c>
      <c r="D20" s="37"/>
      <c r="E20" s="35">
        <v>33.19</v>
      </c>
      <c r="F20" s="35" t="s">
        <v>63</v>
      </c>
      <c r="G20" s="35" t="s">
        <v>67</v>
      </c>
      <c r="R20" t="s">
        <v>81</v>
      </c>
      <c r="S20" s="124">
        <v>6</v>
      </c>
      <c r="T20" s="124"/>
      <c r="U20" s="124"/>
      <c r="V20" s="124"/>
    </row>
    <row r="21" spans="1:22" x14ac:dyDescent="0.3">
      <c r="A21" s="2" t="s">
        <v>5</v>
      </c>
      <c r="B21" s="29">
        <v>6.2143499999999996</v>
      </c>
      <c r="C21" s="4">
        <f xml:space="preserve"> (B21 - $B$19)/$B$19</f>
        <v>3.9188963210702199E-2</v>
      </c>
      <c r="D21" s="23" t="s">
        <v>26</v>
      </c>
      <c r="E21" s="5">
        <v>31.54026</v>
      </c>
      <c r="F21" s="4">
        <f>($E$20 - E21) / $E$20</f>
        <v>4.9705935522747755E-2</v>
      </c>
      <c r="G21" s="3" t="s">
        <v>26</v>
      </c>
      <c r="R21" t="s">
        <v>82</v>
      </c>
      <c r="S21" s="124">
        <v>128</v>
      </c>
      <c r="T21" s="124"/>
      <c r="U21" s="124"/>
      <c r="V21" s="124"/>
    </row>
    <row r="22" spans="1:22" x14ac:dyDescent="0.3">
      <c r="A22" s="21" t="s">
        <v>6</v>
      </c>
      <c r="B22" s="38">
        <v>6.1959</v>
      </c>
      <c r="C22" s="10">
        <f xml:space="preserve"> (B22 - $B$19)/$B$19</f>
        <v>3.6103678929765806E-2</v>
      </c>
      <c r="D22" s="24" t="s">
        <v>26</v>
      </c>
      <c r="E22" s="39">
        <v>31.85107</v>
      </c>
      <c r="F22" s="10">
        <f>($E$20 - E22) / $E$20</f>
        <v>4.0341367881892069E-2</v>
      </c>
      <c r="G22" s="9" t="s">
        <v>26</v>
      </c>
      <c r="R22" t="s">
        <v>83</v>
      </c>
      <c r="S22" s="124">
        <v>8</v>
      </c>
      <c r="T22" s="124"/>
      <c r="U22" s="124"/>
      <c r="V22" s="124"/>
    </row>
    <row r="23" spans="1:22" x14ac:dyDescent="0.3">
      <c r="R23" t="s">
        <v>84</v>
      </c>
      <c r="S23" s="124">
        <v>512</v>
      </c>
      <c r="T23" s="124"/>
      <c r="U23" s="124"/>
      <c r="V23" s="124"/>
    </row>
    <row r="24" spans="1:22" x14ac:dyDescent="0.3">
      <c r="B24" t="s">
        <v>14</v>
      </c>
      <c r="C24" t="s">
        <v>19</v>
      </c>
      <c r="D24" t="s">
        <v>131</v>
      </c>
      <c r="E24" t="s">
        <v>20</v>
      </c>
      <c r="F24" t="s">
        <v>21</v>
      </c>
      <c r="H24" t="s">
        <v>1</v>
      </c>
      <c r="I24" t="s">
        <v>0</v>
      </c>
      <c r="J24" t="s">
        <v>9</v>
      </c>
      <c r="K24" t="s">
        <v>10</v>
      </c>
      <c r="M24" t="s">
        <v>13</v>
      </c>
      <c r="N24" t="s">
        <v>50</v>
      </c>
      <c r="R24" t="s">
        <v>85</v>
      </c>
      <c r="S24" s="124">
        <v>512</v>
      </c>
      <c r="T24" s="124"/>
      <c r="U24" s="124"/>
      <c r="V24" s="124"/>
    </row>
    <row r="25" spans="1:22" x14ac:dyDescent="0.3">
      <c r="A25" t="s">
        <v>15</v>
      </c>
      <c r="B25">
        <v>5</v>
      </c>
      <c r="C25">
        <v>3</v>
      </c>
      <c r="D25">
        <v>4</v>
      </c>
      <c r="E25">
        <v>5</v>
      </c>
      <c r="F25">
        <v>2</v>
      </c>
      <c r="G25" t="s">
        <v>42</v>
      </c>
      <c r="H25">
        <v>64</v>
      </c>
      <c r="I25">
        <v>64</v>
      </c>
      <c r="J25">
        <v>64</v>
      </c>
      <c r="K25">
        <v>64</v>
      </c>
      <c r="M25">
        <v>512</v>
      </c>
      <c r="N25">
        <v>512</v>
      </c>
      <c r="R25" t="s">
        <v>86</v>
      </c>
      <c r="S25" t="s">
        <v>97</v>
      </c>
      <c r="T25" t="s">
        <v>98</v>
      </c>
      <c r="U25" s="124">
        <v>100</v>
      </c>
      <c r="V25" s="124"/>
    </row>
    <row r="26" spans="1:22" x14ac:dyDescent="0.3">
      <c r="A26" t="s">
        <v>16</v>
      </c>
      <c r="B26">
        <v>0.2</v>
      </c>
      <c r="C26">
        <v>0.2</v>
      </c>
      <c r="D26">
        <v>0.2</v>
      </c>
      <c r="E26">
        <v>0.2</v>
      </c>
      <c r="F26">
        <v>0.4</v>
      </c>
      <c r="G26" t="s">
        <v>43</v>
      </c>
      <c r="H26" s="1">
        <v>1E-4</v>
      </c>
      <c r="I26" s="1">
        <v>1E-4</v>
      </c>
      <c r="J26" s="1">
        <v>1E-4</v>
      </c>
      <c r="K26" s="1">
        <v>1E-4</v>
      </c>
      <c r="M26" s="1">
        <v>1E-4</v>
      </c>
      <c r="N26" s="1">
        <v>1E-4</v>
      </c>
      <c r="R26" t="s">
        <v>87</v>
      </c>
      <c r="S26" s="44">
        <v>160000</v>
      </c>
      <c r="T26" s="44">
        <v>160000</v>
      </c>
      <c r="U26" s="139">
        <v>1280000</v>
      </c>
      <c r="V26" s="124"/>
    </row>
    <row r="27" spans="1:22" x14ac:dyDescent="0.3">
      <c r="A27" t="s">
        <v>17</v>
      </c>
      <c r="B27">
        <v>0.6</v>
      </c>
      <c r="C27">
        <v>0.6</v>
      </c>
      <c r="D27">
        <v>0.7</v>
      </c>
      <c r="E27">
        <v>0.6</v>
      </c>
      <c r="F27">
        <v>0</v>
      </c>
      <c r="G27" t="s">
        <v>44</v>
      </c>
      <c r="H27">
        <v>6</v>
      </c>
      <c r="I27">
        <v>6</v>
      </c>
      <c r="J27">
        <v>6</v>
      </c>
      <c r="K27">
        <v>6</v>
      </c>
      <c r="R27" t="s">
        <v>88</v>
      </c>
      <c r="S27" t="s">
        <v>89</v>
      </c>
      <c r="T27" t="s">
        <v>90</v>
      </c>
      <c r="U27" s="124" t="s">
        <v>91</v>
      </c>
      <c r="V27" s="124"/>
    </row>
    <row r="28" spans="1:22" x14ac:dyDescent="0.3">
      <c r="A28" t="s">
        <v>18</v>
      </c>
      <c r="B28">
        <v>0.05</v>
      </c>
      <c r="C28">
        <v>0.1</v>
      </c>
      <c r="D28">
        <v>0.1</v>
      </c>
      <c r="E28">
        <v>0.05</v>
      </c>
      <c r="F28">
        <v>0.5</v>
      </c>
      <c r="G28" t="s">
        <v>45</v>
      </c>
      <c r="H28">
        <v>128</v>
      </c>
      <c r="I28">
        <v>128</v>
      </c>
      <c r="J28">
        <v>128</v>
      </c>
      <c r="K28">
        <v>128</v>
      </c>
    </row>
    <row r="29" spans="1:22" x14ac:dyDescent="0.3">
      <c r="G29" t="s">
        <v>46</v>
      </c>
      <c r="H29">
        <v>512</v>
      </c>
      <c r="I29">
        <v>512</v>
      </c>
      <c r="J29">
        <v>512</v>
      </c>
      <c r="K29">
        <v>512</v>
      </c>
      <c r="S29" t="s">
        <v>95</v>
      </c>
      <c r="T29" t="s">
        <v>96</v>
      </c>
    </row>
    <row r="30" spans="1:22" x14ac:dyDescent="0.3">
      <c r="G30" t="s">
        <v>47</v>
      </c>
      <c r="H30">
        <v>8</v>
      </c>
      <c r="I30">
        <v>8</v>
      </c>
      <c r="J30">
        <v>8</v>
      </c>
      <c r="K30">
        <v>8</v>
      </c>
      <c r="R30" t="s">
        <v>80</v>
      </c>
      <c r="S30" s="138">
        <v>1E-4</v>
      </c>
      <c r="T30" s="138"/>
    </row>
    <row r="31" spans="1:22" x14ac:dyDescent="0.3">
      <c r="G31" t="s">
        <v>48</v>
      </c>
      <c r="H31">
        <v>1000</v>
      </c>
      <c r="I31">
        <v>1500</v>
      </c>
      <c r="J31">
        <v>500</v>
      </c>
      <c r="K31">
        <v>750</v>
      </c>
      <c r="M31">
        <v>100</v>
      </c>
      <c r="N31">
        <v>100</v>
      </c>
      <c r="R31" t="s">
        <v>94</v>
      </c>
      <c r="S31" s="138">
        <v>9.9999999999999995E-7</v>
      </c>
      <c r="T31" s="138"/>
    </row>
    <row r="32" spans="1:22" x14ac:dyDescent="0.3">
      <c r="A32" t="s">
        <v>22</v>
      </c>
      <c r="C32" t="s">
        <v>24</v>
      </c>
      <c r="E32" t="s">
        <v>27</v>
      </c>
      <c r="G32" t="s">
        <v>49</v>
      </c>
      <c r="H32">
        <v>160000</v>
      </c>
      <c r="I32">
        <v>160000</v>
      </c>
      <c r="J32">
        <v>160000</v>
      </c>
      <c r="K32">
        <v>160000</v>
      </c>
      <c r="M32">
        <v>1280000</v>
      </c>
      <c r="N32">
        <v>1280000</v>
      </c>
      <c r="R32" t="s">
        <v>81</v>
      </c>
      <c r="S32" s="124">
        <v>6</v>
      </c>
      <c r="T32" s="124"/>
    </row>
    <row r="33" spans="1:22" x14ac:dyDescent="0.3">
      <c r="A33" t="s">
        <v>23</v>
      </c>
      <c r="C33" t="s">
        <v>25</v>
      </c>
      <c r="E33" t="s">
        <v>28</v>
      </c>
      <c r="R33" t="s">
        <v>82</v>
      </c>
      <c r="S33" s="124">
        <v>128</v>
      </c>
      <c r="T33" s="124"/>
    </row>
    <row r="34" spans="1:22" x14ac:dyDescent="0.3">
      <c r="B34" t="s">
        <v>1</v>
      </c>
      <c r="C34" t="s">
        <v>0</v>
      </c>
      <c r="D34" t="s">
        <v>9</v>
      </c>
      <c r="E34" t="s">
        <v>10</v>
      </c>
      <c r="F34" t="s">
        <v>13</v>
      </c>
      <c r="G34" t="s">
        <v>50</v>
      </c>
      <c r="H34" t="s">
        <v>117</v>
      </c>
      <c r="I34" t="s">
        <v>118</v>
      </c>
      <c r="R34" t="s">
        <v>83</v>
      </c>
      <c r="S34" s="124">
        <v>8</v>
      </c>
      <c r="T34" s="124"/>
    </row>
    <row r="35" spans="1:22" x14ac:dyDescent="0.3">
      <c r="A35" t="s">
        <v>5</v>
      </c>
      <c r="B35">
        <v>117.46</v>
      </c>
      <c r="C35">
        <v>321.43</v>
      </c>
      <c r="D35">
        <v>178.05</v>
      </c>
      <c r="E35">
        <v>493.91</v>
      </c>
      <c r="F35">
        <v>38.590000000000003</v>
      </c>
      <c r="G35">
        <v>36.01</v>
      </c>
      <c r="R35" t="s">
        <v>84</v>
      </c>
      <c r="S35" s="124">
        <v>512</v>
      </c>
      <c r="T35" s="124"/>
    </row>
    <row r="36" spans="1:22" x14ac:dyDescent="0.3">
      <c r="A36" t="s">
        <v>6</v>
      </c>
      <c r="B36">
        <v>121.3</v>
      </c>
      <c r="C36">
        <v>332.14</v>
      </c>
      <c r="D36">
        <v>183.7</v>
      </c>
      <c r="E36">
        <v>509.73</v>
      </c>
      <c r="F36">
        <v>39.18</v>
      </c>
      <c r="G36">
        <v>37.68</v>
      </c>
      <c r="R36" t="s">
        <v>85</v>
      </c>
      <c r="S36" s="124">
        <v>64</v>
      </c>
      <c r="T36" s="124"/>
    </row>
    <row r="37" spans="1:22" x14ac:dyDescent="0.3">
      <c r="A37" t="s">
        <v>125</v>
      </c>
      <c r="B37">
        <v>95.73</v>
      </c>
      <c r="C37">
        <v>275</v>
      </c>
      <c r="D37">
        <v>132.38</v>
      </c>
      <c r="E37">
        <v>481.13</v>
      </c>
      <c r="R37" t="s">
        <v>86</v>
      </c>
      <c r="S37" t="s">
        <v>97</v>
      </c>
      <c r="T37" t="s">
        <v>98</v>
      </c>
    </row>
    <row r="38" spans="1:22" x14ac:dyDescent="0.3">
      <c r="A38" t="s">
        <v>126</v>
      </c>
      <c r="B38">
        <v>98.51</v>
      </c>
      <c r="C38">
        <v>281.16000000000003</v>
      </c>
      <c r="D38">
        <v>137.91</v>
      </c>
      <c r="E38">
        <v>504.99</v>
      </c>
      <c r="R38" t="s">
        <v>87</v>
      </c>
      <c r="S38" s="139">
        <v>160000</v>
      </c>
      <c r="T38" s="139"/>
    </row>
    <row r="39" spans="1:22" x14ac:dyDescent="0.3">
      <c r="A39" t="s">
        <v>136</v>
      </c>
      <c r="B39">
        <v>93.51</v>
      </c>
      <c r="C39">
        <v>390.44</v>
      </c>
      <c r="D39">
        <v>158.1</v>
      </c>
      <c r="E39">
        <v>610.54999999999995</v>
      </c>
      <c r="R39" t="s">
        <v>88</v>
      </c>
      <c r="S39" t="s">
        <v>89</v>
      </c>
      <c r="T39" t="s">
        <v>90</v>
      </c>
    </row>
    <row r="40" spans="1:22" x14ac:dyDescent="0.3">
      <c r="A40" t="s">
        <v>137</v>
      </c>
      <c r="B40">
        <v>96.754999999999995</v>
      </c>
      <c r="C40">
        <v>402.99</v>
      </c>
      <c r="D40">
        <v>164.1</v>
      </c>
      <c r="E40">
        <v>639.88</v>
      </c>
    </row>
    <row r="41" spans="1:22" x14ac:dyDescent="0.3">
      <c r="A41" t="s">
        <v>138</v>
      </c>
      <c r="B41">
        <f>100*(B36-B35)/B35</f>
        <v>3.2691980248595298</v>
      </c>
      <c r="C41">
        <f t="shared" ref="C41:G41" si="4">100*(C36-C35)/C35</f>
        <v>3.3319851911769218</v>
      </c>
      <c r="D41">
        <f t="shared" si="4"/>
        <v>3.1732659365346683</v>
      </c>
      <c r="E41">
        <f t="shared" si="4"/>
        <v>3.203012694620476</v>
      </c>
      <c r="F41">
        <f t="shared" si="4"/>
        <v>1.5288934957242712</v>
      </c>
      <c r="G41">
        <f t="shared" si="4"/>
        <v>4.6376006664815375</v>
      </c>
      <c r="S41" t="s">
        <v>95</v>
      </c>
      <c r="T41" t="s">
        <v>96</v>
      </c>
    </row>
    <row r="42" spans="1:22" x14ac:dyDescent="0.3">
      <c r="A42" t="s">
        <v>139</v>
      </c>
      <c r="B42">
        <f>100*(B38-B37)/B37</f>
        <v>2.9040008356836946</v>
      </c>
      <c r="C42">
        <f t="shared" ref="C42:E42" si="5">100*(C38-C37)/C37</f>
        <v>2.2400000000000091</v>
      </c>
      <c r="D42">
        <f t="shared" si="5"/>
        <v>4.1773681825049112</v>
      </c>
      <c r="E42">
        <f t="shared" si="5"/>
        <v>4.959158647351031</v>
      </c>
      <c r="R42" t="s">
        <v>80</v>
      </c>
      <c r="S42" s="138">
        <v>1E-4</v>
      </c>
      <c r="T42" s="138"/>
      <c r="U42" s="1"/>
      <c r="V42" s="1"/>
    </row>
    <row r="43" spans="1:22" x14ac:dyDescent="0.3">
      <c r="A43" t="s">
        <v>140</v>
      </c>
      <c r="B43">
        <f>100*(B40-B39)/B39</f>
        <v>3.4702170890813711</v>
      </c>
      <c r="C43">
        <f t="shared" ref="C43:E43" si="6">100*(C40-C39)/C39</f>
        <v>3.2143223030427239</v>
      </c>
      <c r="D43">
        <f t="shared" si="6"/>
        <v>3.7950664136622394</v>
      </c>
      <c r="E43">
        <f t="shared" si="6"/>
        <v>4.8038653672917935</v>
      </c>
      <c r="R43" t="s">
        <v>94</v>
      </c>
      <c r="S43" s="138">
        <v>9.9999999999999995E-7</v>
      </c>
      <c r="T43" s="138"/>
      <c r="U43" s="1"/>
      <c r="V43" s="1"/>
    </row>
    <row r="44" spans="1:22" x14ac:dyDescent="0.3">
      <c r="R44" t="s">
        <v>81</v>
      </c>
      <c r="S44" s="124">
        <v>6</v>
      </c>
      <c r="T44" s="124"/>
    </row>
    <row r="45" spans="1:22" x14ac:dyDescent="0.3">
      <c r="B45" s="135" t="s">
        <v>1</v>
      </c>
      <c r="C45" s="134"/>
      <c r="D45" s="136"/>
      <c r="E45" s="134" t="s">
        <v>0</v>
      </c>
      <c r="F45" s="134"/>
      <c r="G45" s="134"/>
      <c r="H45" s="135" t="s">
        <v>9</v>
      </c>
      <c r="I45" s="134"/>
      <c r="J45" s="136"/>
      <c r="K45" s="133" t="s">
        <v>10</v>
      </c>
      <c r="L45" s="134"/>
      <c r="M45" s="134"/>
      <c r="R45" t="s">
        <v>82</v>
      </c>
      <c r="S45" s="124">
        <v>128</v>
      </c>
      <c r="T45" s="124"/>
    </row>
    <row r="46" spans="1:22" ht="14.6" thickBot="1" x14ac:dyDescent="0.35">
      <c r="B46" s="14" t="s">
        <v>2</v>
      </c>
      <c r="C46" s="13" t="s">
        <v>3</v>
      </c>
      <c r="D46" s="22" t="s">
        <v>4</v>
      </c>
      <c r="E46" s="13" t="s">
        <v>2</v>
      </c>
      <c r="F46" s="13" t="s">
        <v>3</v>
      </c>
      <c r="G46" s="13" t="s">
        <v>4</v>
      </c>
      <c r="H46" s="14" t="s">
        <v>2</v>
      </c>
      <c r="I46" s="13" t="s">
        <v>3</v>
      </c>
      <c r="J46" s="22" t="s">
        <v>4</v>
      </c>
      <c r="K46" s="13" t="s">
        <v>2</v>
      </c>
      <c r="L46" s="13" t="s">
        <v>3</v>
      </c>
      <c r="M46" s="13" t="s">
        <v>4</v>
      </c>
      <c r="R46" t="s">
        <v>83</v>
      </c>
      <c r="S46" s="124">
        <v>8</v>
      </c>
      <c r="T46" s="124"/>
    </row>
    <row r="47" spans="1:22" ht="14.6" thickTop="1" x14ac:dyDescent="0.3">
      <c r="A47" s="7" t="s">
        <v>29</v>
      </c>
      <c r="B47" s="3">
        <v>5.6902999999999997</v>
      </c>
      <c r="C47" s="3" t="s">
        <v>63</v>
      </c>
      <c r="D47" s="3" t="s">
        <v>63</v>
      </c>
      <c r="E47" s="3">
        <v>7.7609000000000004</v>
      </c>
      <c r="F47" s="3" t="s">
        <v>63</v>
      </c>
      <c r="G47" s="3" t="s">
        <v>63</v>
      </c>
      <c r="R47" t="s">
        <v>84</v>
      </c>
      <c r="S47" s="124">
        <v>512</v>
      </c>
      <c r="T47" s="124"/>
    </row>
    <row r="48" spans="1:22" x14ac:dyDescent="0.3">
      <c r="A48" s="7" t="s">
        <v>141</v>
      </c>
      <c r="B48" s="3">
        <v>5.702</v>
      </c>
      <c r="C48" s="3">
        <f>(B48-$B$47)/$B$47</f>
        <v>2.056130608228084E-3</v>
      </c>
      <c r="D48" s="3" t="s">
        <v>144</v>
      </c>
      <c r="E48" s="3">
        <v>7.8259999999999996</v>
      </c>
      <c r="F48" s="3">
        <f>(E48-$E$47)/$E$47</f>
        <v>8.3882023992061829E-3</v>
      </c>
      <c r="G48" s="3" t="s">
        <v>145</v>
      </c>
      <c r="H48">
        <v>11.2891914232</v>
      </c>
      <c r="J48" t="s">
        <v>148</v>
      </c>
      <c r="K48">
        <v>17.590838862219801</v>
      </c>
      <c r="M48" t="s">
        <v>147</v>
      </c>
      <c r="R48" t="s">
        <v>85</v>
      </c>
      <c r="S48" s="124">
        <v>64</v>
      </c>
      <c r="T48" s="124"/>
    </row>
    <row r="49" spans="1:42" x14ac:dyDescent="0.3">
      <c r="A49" s="7" t="s">
        <v>142</v>
      </c>
      <c r="B49" s="3">
        <v>5.8390000000000004</v>
      </c>
      <c r="C49" s="3">
        <f>(B49-$B$47)/$B$47</f>
        <v>2.6132189866966721E-2</v>
      </c>
      <c r="D49" s="3" t="s">
        <v>143</v>
      </c>
      <c r="E49" s="3">
        <v>7.9649999999999999</v>
      </c>
      <c r="F49" s="3">
        <f>(E49-$E$47)/$E$47</f>
        <v>2.6298496308417772E-2</v>
      </c>
      <c r="G49" s="3" t="s">
        <v>146</v>
      </c>
      <c r="H49">
        <v>10.762</v>
      </c>
      <c r="J49" t="s">
        <v>149</v>
      </c>
      <c r="K49">
        <v>16.277000000000001</v>
      </c>
      <c r="M49" t="s">
        <v>150</v>
      </c>
      <c r="R49" t="s">
        <v>86</v>
      </c>
      <c r="S49" t="s">
        <v>97</v>
      </c>
      <c r="T49" t="s">
        <v>98</v>
      </c>
    </row>
    <row r="50" spans="1:42" x14ac:dyDescent="0.3">
      <c r="R50" t="s">
        <v>87</v>
      </c>
      <c r="S50" s="139">
        <v>160000</v>
      </c>
      <c r="T50" s="139"/>
      <c r="U50" s="44"/>
      <c r="V50" s="44"/>
    </row>
    <row r="51" spans="1:42" x14ac:dyDescent="0.3">
      <c r="R51" t="s">
        <v>88</v>
      </c>
      <c r="S51" t="s">
        <v>89</v>
      </c>
      <c r="T51" t="s">
        <v>90</v>
      </c>
    </row>
    <row r="52" spans="1:42" x14ac:dyDescent="0.3">
      <c r="A52" s="2"/>
      <c r="B52" s="137" t="s">
        <v>1</v>
      </c>
      <c r="C52" s="137"/>
      <c r="D52" s="137"/>
      <c r="E52" s="137" t="s">
        <v>0</v>
      </c>
      <c r="F52" s="137"/>
      <c r="G52" s="137"/>
      <c r="H52" s="137" t="s">
        <v>9</v>
      </c>
      <c r="I52" s="137"/>
      <c r="J52" s="137"/>
      <c r="K52" s="137" t="s">
        <v>10</v>
      </c>
      <c r="L52" s="137"/>
      <c r="M52" s="137"/>
      <c r="R52" t="s">
        <v>92</v>
      </c>
      <c r="S52">
        <v>0.1</v>
      </c>
      <c r="T52">
        <v>0.2</v>
      </c>
    </row>
    <row r="53" spans="1:42" x14ac:dyDescent="0.3">
      <c r="A53" s="2"/>
      <c r="B53" s="58" t="s">
        <v>151</v>
      </c>
      <c r="C53" s="58" t="s">
        <v>152</v>
      </c>
      <c r="D53" s="58" t="s">
        <v>153</v>
      </c>
      <c r="E53" s="58" t="s">
        <v>151</v>
      </c>
      <c r="F53" s="58" t="s">
        <v>152</v>
      </c>
      <c r="G53" s="58" t="s">
        <v>153</v>
      </c>
      <c r="H53" s="58" t="s">
        <v>151</v>
      </c>
      <c r="I53" s="58" t="s">
        <v>152</v>
      </c>
      <c r="J53" s="58" t="s">
        <v>153</v>
      </c>
      <c r="K53" s="58" t="s">
        <v>151</v>
      </c>
      <c r="L53" s="58" t="s">
        <v>152</v>
      </c>
      <c r="M53" s="58" t="s">
        <v>153</v>
      </c>
      <c r="R53" t="s">
        <v>93</v>
      </c>
      <c r="S53">
        <v>1</v>
      </c>
      <c r="T53">
        <v>1</v>
      </c>
    </row>
    <row r="54" spans="1:42" x14ac:dyDescent="0.3">
      <c r="A54" s="2" t="s">
        <v>5</v>
      </c>
      <c r="B54" s="3">
        <v>5.7940300000000002</v>
      </c>
      <c r="C54" s="3">
        <v>5.7940300000000002</v>
      </c>
      <c r="D54" s="3">
        <v>5.7794999999999996</v>
      </c>
      <c r="E54" s="3">
        <v>8.1232500000000005</v>
      </c>
      <c r="F54" s="3">
        <v>8.1232500000000005</v>
      </c>
      <c r="G54" s="3">
        <v>8.0713000000000008</v>
      </c>
      <c r="H54" s="3">
        <v>10.949009999999999</v>
      </c>
      <c r="I54" s="3">
        <v>10.9476</v>
      </c>
      <c r="J54" s="3">
        <v>10.89293</v>
      </c>
      <c r="K54" s="3">
        <v>16.58043</v>
      </c>
      <c r="L54" s="3">
        <v>16.578700000000001</v>
      </c>
      <c r="M54" s="3">
        <v>16.554510000000001</v>
      </c>
    </row>
    <row r="55" spans="1:42" x14ac:dyDescent="0.3">
      <c r="B55" s="124" t="s">
        <v>13</v>
      </c>
      <c r="C55" s="124"/>
      <c r="D55" s="124"/>
      <c r="E55" s="124" t="s">
        <v>50</v>
      </c>
      <c r="F55" s="124"/>
      <c r="G55" s="124"/>
    </row>
    <row r="56" spans="1:42" x14ac:dyDescent="0.3">
      <c r="B56" s="15">
        <v>6.2143499999999996</v>
      </c>
      <c r="C56" s="59">
        <v>6.2138299999999997</v>
      </c>
      <c r="D56" s="59"/>
      <c r="E56" s="3"/>
      <c r="F56" s="59"/>
      <c r="G56" s="59"/>
      <c r="H56" s="59"/>
      <c r="I56" s="59"/>
      <c r="J56" s="59"/>
      <c r="K56" s="59"/>
      <c r="L56" s="59"/>
      <c r="M56" s="59"/>
    </row>
    <row r="57" spans="1:42" x14ac:dyDescent="0.3">
      <c r="A57" s="2" t="s">
        <v>125</v>
      </c>
      <c r="B57" s="3">
        <v>5.7024900000000001</v>
      </c>
      <c r="C57" s="3">
        <v>5.7024900000000001</v>
      </c>
      <c r="D57" s="3">
        <v>5.7016900000000001</v>
      </c>
      <c r="E57" s="3">
        <v>7.8000699999999998</v>
      </c>
      <c r="F57" s="3">
        <v>7.8000699999999998</v>
      </c>
      <c r="G57" s="3">
        <v>7.7960399999999996</v>
      </c>
      <c r="H57" s="3">
        <v>10.55475</v>
      </c>
      <c r="I57" s="3">
        <v>10.553599999999999</v>
      </c>
      <c r="J57" s="3">
        <v>10.49959</v>
      </c>
      <c r="K57" s="3">
        <v>15.89442</v>
      </c>
      <c r="L57" s="3">
        <v>15.890599999999999</v>
      </c>
      <c r="M57" s="3">
        <v>15.85887</v>
      </c>
    </row>
    <row r="58" spans="1:42" x14ac:dyDescent="0.3">
      <c r="A58" s="2" t="s">
        <v>136</v>
      </c>
      <c r="B58" s="3">
        <v>5.6983300000000003</v>
      </c>
      <c r="C58" s="3">
        <v>5.6983300000000003</v>
      </c>
      <c r="D58" s="3">
        <v>5.6982699999999999</v>
      </c>
      <c r="E58" s="3">
        <v>7.7932499999999996</v>
      </c>
      <c r="F58" s="3">
        <v>7.7932499999999996</v>
      </c>
      <c r="G58" s="3">
        <v>7.7773599999999998</v>
      </c>
      <c r="H58" s="3">
        <v>10.494579999999999</v>
      </c>
      <c r="I58" s="3">
        <v>10.493119999999999</v>
      </c>
      <c r="J58" s="3">
        <v>10.48072</v>
      </c>
      <c r="K58" s="3">
        <v>15.83921</v>
      </c>
      <c r="L58" s="3">
        <v>15.835570000000001</v>
      </c>
      <c r="M58" s="3">
        <v>15.82619</v>
      </c>
    </row>
    <row r="59" spans="1:42" x14ac:dyDescent="0.3">
      <c r="A59" s="2" t="s">
        <v>158</v>
      </c>
      <c r="B59" s="3">
        <v>6.1970000000000001</v>
      </c>
      <c r="C59" t="s">
        <v>159</v>
      </c>
      <c r="E59" s="3">
        <v>8.3308</v>
      </c>
      <c r="F59" t="s">
        <v>160</v>
      </c>
      <c r="H59" s="3">
        <v>11.426</v>
      </c>
      <c r="I59" t="s">
        <v>161</v>
      </c>
      <c r="K59" s="3">
        <v>18.58897</v>
      </c>
      <c r="L59" t="s">
        <v>162</v>
      </c>
    </row>
    <row r="60" spans="1:42" x14ac:dyDescent="0.3">
      <c r="B60" t="s">
        <v>13</v>
      </c>
      <c r="E60" t="s">
        <v>50</v>
      </c>
      <c r="H60" t="s">
        <v>117</v>
      </c>
      <c r="K60" t="s">
        <v>118</v>
      </c>
    </row>
    <row r="61" spans="1:42" x14ac:dyDescent="0.3">
      <c r="B61" s="3">
        <v>6.32</v>
      </c>
      <c r="C61" t="s">
        <v>165</v>
      </c>
      <c r="E61" s="3">
        <v>29.952000000000002</v>
      </c>
      <c r="F61" t="s">
        <v>163</v>
      </c>
      <c r="H61" s="3">
        <v>17.038</v>
      </c>
      <c r="I61" t="s">
        <v>164</v>
      </c>
      <c r="K61" s="3">
        <v>31.357299999999999</v>
      </c>
      <c r="L61" t="s">
        <v>166</v>
      </c>
    </row>
    <row r="63" spans="1:42" x14ac:dyDescent="0.3">
      <c r="B63" s="137" t="s">
        <v>1</v>
      </c>
      <c r="C63" s="137"/>
      <c r="D63" s="137"/>
      <c r="E63" s="137" t="s">
        <v>0</v>
      </c>
      <c r="F63" s="137"/>
      <c r="G63" s="137"/>
      <c r="H63" s="137" t="s">
        <v>9</v>
      </c>
      <c r="I63" s="137"/>
      <c r="J63" s="137"/>
      <c r="K63" s="137" t="s">
        <v>10</v>
      </c>
      <c r="L63" s="137"/>
      <c r="M63" s="137"/>
      <c r="R63" s="62"/>
      <c r="S63" s="134" t="s">
        <v>1</v>
      </c>
      <c r="T63" s="134"/>
      <c r="U63" s="146"/>
      <c r="V63" s="134" t="s">
        <v>0</v>
      </c>
      <c r="W63" s="134"/>
      <c r="X63" s="147"/>
      <c r="Y63" s="134" t="s">
        <v>9</v>
      </c>
      <c r="Z63" s="134"/>
      <c r="AA63" s="146"/>
      <c r="AB63" s="134" t="s">
        <v>10</v>
      </c>
      <c r="AC63" s="134"/>
      <c r="AD63" s="147"/>
      <c r="AE63" s="144" t="s">
        <v>117</v>
      </c>
      <c r="AF63" s="144"/>
      <c r="AG63" s="148"/>
      <c r="AH63" s="144" t="s">
        <v>118</v>
      </c>
      <c r="AI63" s="144"/>
      <c r="AJ63" s="145"/>
      <c r="AK63" s="144" t="s">
        <v>13</v>
      </c>
      <c r="AL63" s="144"/>
      <c r="AM63" s="145"/>
      <c r="AN63" s="144" t="s">
        <v>50</v>
      </c>
      <c r="AO63" s="144"/>
      <c r="AP63" s="144"/>
    </row>
    <row r="64" spans="1:42" ht="14.6" thickBot="1" x14ac:dyDescent="0.35">
      <c r="B64" t="s">
        <v>154</v>
      </c>
      <c r="C64" t="s">
        <v>155</v>
      </c>
      <c r="D64" t="s">
        <v>156</v>
      </c>
      <c r="E64" t="s">
        <v>154</v>
      </c>
      <c r="F64" t="s">
        <v>157</v>
      </c>
      <c r="G64" t="s">
        <v>156</v>
      </c>
      <c r="H64" t="s">
        <v>154</v>
      </c>
      <c r="I64" t="s">
        <v>155</v>
      </c>
      <c r="J64" t="s">
        <v>156</v>
      </c>
      <c r="K64" t="s">
        <v>154</v>
      </c>
      <c r="L64" t="s">
        <v>155</v>
      </c>
      <c r="M64" t="s">
        <v>156</v>
      </c>
      <c r="R64" s="63"/>
      <c r="S64" s="67" t="s">
        <v>154</v>
      </c>
      <c r="T64" s="67" t="s">
        <v>155</v>
      </c>
      <c r="U64" s="68" t="s">
        <v>156</v>
      </c>
      <c r="V64" s="67" t="s">
        <v>154</v>
      </c>
      <c r="W64" s="67" t="s">
        <v>157</v>
      </c>
      <c r="X64" s="69" t="s">
        <v>156</v>
      </c>
      <c r="Y64" s="67" t="s">
        <v>154</v>
      </c>
      <c r="Z64" s="67" t="s">
        <v>155</v>
      </c>
      <c r="AA64" s="68" t="s">
        <v>156</v>
      </c>
      <c r="AB64" s="67" t="s">
        <v>154</v>
      </c>
      <c r="AC64" s="67" t="s">
        <v>155</v>
      </c>
      <c r="AD64" s="69" t="s">
        <v>156</v>
      </c>
      <c r="AE64" s="67" t="s">
        <v>154</v>
      </c>
      <c r="AF64" s="67" t="s">
        <v>155</v>
      </c>
      <c r="AG64" s="68" t="s">
        <v>156</v>
      </c>
      <c r="AH64" s="67" t="s">
        <v>154</v>
      </c>
      <c r="AI64" s="67" t="s">
        <v>155</v>
      </c>
      <c r="AJ64" s="69" t="s">
        <v>156</v>
      </c>
      <c r="AK64" s="67" t="s">
        <v>154</v>
      </c>
      <c r="AL64" s="67" t="s">
        <v>155</v>
      </c>
      <c r="AM64" s="69" t="s">
        <v>156</v>
      </c>
      <c r="AN64" s="67" t="s">
        <v>154</v>
      </c>
      <c r="AO64" s="67" t="s">
        <v>155</v>
      </c>
      <c r="AP64" s="67" t="s">
        <v>156</v>
      </c>
    </row>
    <row r="65" spans="1:42" ht="14.6" thickTop="1" x14ac:dyDescent="0.3">
      <c r="A65" s="2" t="s">
        <v>5</v>
      </c>
      <c r="B65" s="3"/>
      <c r="C65" s="4"/>
      <c r="D65" s="3"/>
      <c r="E65" s="3"/>
      <c r="F65" s="4"/>
      <c r="G65" s="3"/>
      <c r="H65" s="3"/>
      <c r="I65" s="4"/>
      <c r="J65" s="3"/>
      <c r="K65" s="3"/>
      <c r="L65" s="4"/>
      <c r="M65" s="3"/>
      <c r="R65" s="64" t="s">
        <v>5</v>
      </c>
      <c r="S65" s="60">
        <v>7454</v>
      </c>
      <c r="T65" s="60">
        <v>14958</v>
      </c>
      <c r="U65" s="70">
        <v>27588</v>
      </c>
      <c r="V65" s="60">
        <v>4098</v>
      </c>
      <c r="W65" s="60">
        <v>604</v>
      </c>
      <c r="X65" s="71">
        <v>45298</v>
      </c>
      <c r="Y65" s="60">
        <v>4141</v>
      </c>
      <c r="Z65" s="60">
        <v>1142</v>
      </c>
      <c r="AA65" s="70">
        <v>44717</v>
      </c>
      <c r="AB65" s="60">
        <v>2211</v>
      </c>
      <c r="AC65" s="60">
        <v>0</v>
      </c>
      <c r="AD65" s="71">
        <v>47789</v>
      </c>
      <c r="AE65" s="60">
        <v>4779</v>
      </c>
      <c r="AF65" s="60">
        <v>30779</v>
      </c>
      <c r="AG65" s="70">
        <v>14442</v>
      </c>
      <c r="AH65" s="60">
        <v>6653</v>
      </c>
      <c r="AI65" s="60">
        <v>25088</v>
      </c>
      <c r="AJ65" s="71">
        <v>18259</v>
      </c>
      <c r="AK65" s="60">
        <v>7942</v>
      </c>
      <c r="AL65" s="60">
        <v>216</v>
      </c>
      <c r="AM65" s="71">
        <v>41842</v>
      </c>
      <c r="AN65" s="60">
        <v>6291</v>
      </c>
      <c r="AO65" s="60">
        <v>6204</v>
      </c>
      <c r="AP65" s="60">
        <v>37505</v>
      </c>
    </row>
    <row r="66" spans="1:42" x14ac:dyDescent="0.3">
      <c r="A66" t="s">
        <v>6</v>
      </c>
      <c r="R66" s="64" t="s">
        <v>125</v>
      </c>
      <c r="S66" s="60">
        <v>2500</v>
      </c>
      <c r="T66" s="60">
        <v>40313</v>
      </c>
      <c r="U66" s="70">
        <v>7187</v>
      </c>
      <c r="V66" s="60">
        <v>7450</v>
      </c>
      <c r="W66" s="60">
        <v>21413</v>
      </c>
      <c r="X66" s="71">
        <v>21137</v>
      </c>
      <c r="Y66" s="60">
        <v>9516</v>
      </c>
      <c r="Z66" s="60">
        <v>13385</v>
      </c>
      <c r="AA66" s="70">
        <v>27099</v>
      </c>
      <c r="AB66" s="60">
        <v>9241</v>
      </c>
      <c r="AC66" s="60">
        <v>11450</v>
      </c>
      <c r="AD66" s="71">
        <v>29309</v>
      </c>
      <c r="AE66" s="60">
        <v>5222</v>
      </c>
      <c r="AF66" s="60">
        <v>30725</v>
      </c>
      <c r="AG66" s="70">
        <v>14053</v>
      </c>
      <c r="AH66" s="60">
        <v>5405</v>
      </c>
      <c r="AI66" s="60">
        <v>31594</v>
      </c>
      <c r="AJ66" s="71">
        <v>13001</v>
      </c>
      <c r="AK66" s="60"/>
      <c r="AL66" s="60"/>
      <c r="AM66" s="71"/>
      <c r="AN66" s="60"/>
      <c r="AO66" s="60"/>
      <c r="AP66" s="60"/>
    </row>
    <row r="67" spans="1:42" x14ac:dyDescent="0.3">
      <c r="A67" s="2" t="s">
        <v>125</v>
      </c>
      <c r="B67" s="3"/>
      <c r="C67" s="4"/>
      <c r="D67" s="3"/>
      <c r="E67" s="3"/>
      <c r="F67" s="4"/>
      <c r="G67" s="3"/>
      <c r="H67" s="3"/>
      <c r="I67" s="4"/>
      <c r="J67" s="3"/>
      <c r="K67" s="3"/>
      <c r="L67" s="4"/>
      <c r="M67" s="3"/>
      <c r="R67" s="65" t="s">
        <v>136</v>
      </c>
      <c r="S67" s="72">
        <v>2500</v>
      </c>
      <c r="T67" s="72">
        <v>36018</v>
      </c>
      <c r="U67" s="73">
        <v>11482</v>
      </c>
      <c r="V67" s="72">
        <v>7450</v>
      </c>
      <c r="W67" s="72">
        <v>16915</v>
      </c>
      <c r="X67" s="74">
        <v>25635</v>
      </c>
      <c r="Y67" s="72">
        <v>2500</v>
      </c>
      <c r="Z67" s="72">
        <v>248</v>
      </c>
      <c r="AA67" s="73">
        <v>47252</v>
      </c>
      <c r="AB67" s="72">
        <v>9242</v>
      </c>
      <c r="AC67" s="72">
        <v>6980</v>
      </c>
      <c r="AD67" s="74">
        <v>33778</v>
      </c>
      <c r="AE67" s="72"/>
      <c r="AF67" s="72"/>
      <c r="AG67" s="73"/>
      <c r="AH67" s="72"/>
      <c r="AI67" s="72"/>
      <c r="AJ67" s="74"/>
      <c r="AK67" s="72"/>
      <c r="AL67" s="72"/>
      <c r="AM67" s="74"/>
      <c r="AN67" s="72"/>
      <c r="AO67" s="72"/>
      <c r="AP67" s="72"/>
    </row>
    <row r="68" spans="1:42" x14ac:dyDescent="0.3">
      <c r="A68" s="2" t="s">
        <v>126</v>
      </c>
      <c r="B68" s="3"/>
      <c r="C68" s="4"/>
      <c r="D68" s="3"/>
      <c r="E68" s="3"/>
      <c r="F68" s="4"/>
      <c r="G68" s="3"/>
      <c r="H68" s="3"/>
      <c r="I68" s="4"/>
      <c r="J68" s="3"/>
      <c r="K68" s="3"/>
      <c r="L68" s="4"/>
      <c r="M68" s="3"/>
      <c r="S68" s="3"/>
      <c r="T68" s="4"/>
      <c r="U68" s="3"/>
      <c r="V68" s="3"/>
      <c r="W68" s="4"/>
      <c r="X68" s="3"/>
      <c r="Y68" s="3"/>
      <c r="Z68" s="4"/>
      <c r="AA68" s="3"/>
      <c r="AB68" s="3"/>
      <c r="AC68" s="4"/>
      <c r="AD68" s="3"/>
    </row>
    <row r="69" spans="1:42" x14ac:dyDescent="0.3">
      <c r="A69" s="2" t="s">
        <v>136</v>
      </c>
      <c r="B69" s="3"/>
      <c r="C69" s="4"/>
      <c r="D69" s="3"/>
      <c r="E69" s="3"/>
      <c r="F69" s="4"/>
      <c r="G69" s="3"/>
      <c r="H69" s="43"/>
      <c r="I69" s="4"/>
      <c r="J69" s="3"/>
      <c r="K69" s="43"/>
      <c r="L69" s="4"/>
      <c r="M69" s="3"/>
      <c r="S69" s="3"/>
      <c r="T69" s="4"/>
      <c r="U69" s="3"/>
      <c r="V69" s="3"/>
      <c r="W69" s="4"/>
      <c r="X69" s="3"/>
      <c r="Y69" s="43"/>
      <c r="Z69" s="4"/>
      <c r="AA69" s="3"/>
      <c r="AB69" s="43"/>
      <c r="AC69" s="4"/>
      <c r="AD69" s="3"/>
    </row>
    <row r="70" spans="1:42" x14ac:dyDescent="0.3">
      <c r="A70" s="2" t="s">
        <v>153</v>
      </c>
      <c r="B70" s="3"/>
      <c r="C70" s="4"/>
      <c r="D70" s="3"/>
      <c r="E70" s="3"/>
      <c r="F70" s="4"/>
      <c r="G70" s="3"/>
      <c r="H70" s="3"/>
      <c r="I70" s="4"/>
      <c r="J70" s="3"/>
      <c r="K70" s="3"/>
      <c r="L70" s="4"/>
      <c r="M70" s="3"/>
      <c r="R70" s="2"/>
      <c r="S70" s="3"/>
      <c r="T70" s="4"/>
      <c r="U70" s="3"/>
      <c r="V70" s="3"/>
      <c r="W70" s="4"/>
      <c r="X70" s="3"/>
      <c r="Y70" s="3"/>
      <c r="Z70" s="4"/>
      <c r="AA70" s="3"/>
      <c r="AB70" s="3"/>
      <c r="AC70" s="4"/>
      <c r="AD70" s="3"/>
    </row>
    <row r="71" spans="1:42" x14ac:dyDescent="0.3"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</row>
    <row r="72" spans="1:42" x14ac:dyDescent="0.3">
      <c r="R72" s="77"/>
      <c r="S72" s="137" t="s">
        <v>1</v>
      </c>
      <c r="T72" s="142"/>
      <c r="U72" s="137" t="s">
        <v>0</v>
      </c>
      <c r="V72" s="149"/>
      <c r="W72" s="137" t="s">
        <v>9</v>
      </c>
      <c r="X72" s="142"/>
      <c r="Y72" s="137" t="s">
        <v>10</v>
      </c>
      <c r="Z72" s="149"/>
      <c r="AA72" s="137" t="s">
        <v>117</v>
      </c>
      <c r="AB72" s="142"/>
      <c r="AC72" s="124" t="s">
        <v>118</v>
      </c>
      <c r="AD72" s="143"/>
      <c r="AE72" s="124" t="s">
        <v>13</v>
      </c>
      <c r="AF72" s="143"/>
      <c r="AG72" s="124" t="s">
        <v>50</v>
      </c>
      <c r="AH72" s="124"/>
    </row>
    <row r="73" spans="1:42" ht="14.6" thickBot="1" x14ac:dyDescent="0.35">
      <c r="R73" s="78"/>
      <c r="S73" s="75" t="s">
        <v>2</v>
      </c>
      <c r="T73" s="90" t="s">
        <v>167</v>
      </c>
      <c r="U73" s="75" t="s">
        <v>2</v>
      </c>
      <c r="V73" s="76" t="s">
        <v>167</v>
      </c>
      <c r="W73" s="75" t="s">
        <v>2</v>
      </c>
      <c r="X73" s="90" t="s">
        <v>167</v>
      </c>
      <c r="Y73" s="75" t="s">
        <v>2</v>
      </c>
      <c r="Z73" s="76" t="s">
        <v>167</v>
      </c>
      <c r="AA73" s="75" t="s">
        <v>168</v>
      </c>
      <c r="AB73" s="90" t="s">
        <v>167</v>
      </c>
      <c r="AC73" s="81" t="s">
        <v>168</v>
      </c>
      <c r="AD73" s="76" t="s">
        <v>167</v>
      </c>
      <c r="AE73" s="81" t="s">
        <v>2</v>
      </c>
      <c r="AF73" s="76" t="s">
        <v>167</v>
      </c>
      <c r="AG73" s="81" t="s">
        <v>168</v>
      </c>
      <c r="AH73" s="75" t="s">
        <v>167</v>
      </c>
    </row>
    <row r="74" spans="1:42" ht="14.6" thickTop="1" x14ac:dyDescent="0.3">
      <c r="R74" s="77" t="s">
        <v>5</v>
      </c>
      <c r="S74" s="3">
        <v>5.7940300000000002</v>
      </c>
      <c r="T74" s="91">
        <v>7.2020859999999999E-3</v>
      </c>
      <c r="U74" s="3">
        <v>8.1232500000000005</v>
      </c>
      <c r="V74" s="83">
        <v>1.1891616000000001E-2</v>
      </c>
      <c r="W74" s="3">
        <v>10.949009999999999</v>
      </c>
      <c r="X74" s="91">
        <v>2.1722828E-2</v>
      </c>
      <c r="Y74" s="3">
        <v>16.58043</v>
      </c>
      <c r="Z74" s="83">
        <v>4.4939672999999999E-2</v>
      </c>
      <c r="AA74" s="57">
        <v>20.089213000000001</v>
      </c>
      <c r="AB74" s="91">
        <v>2.8049408000000001E-2</v>
      </c>
      <c r="AC74" s="57">
        <v>40.464886</v>
      </c>
      <c r="AD74" s="83">
        <v>4.1142815999999999E-2</v>
      </c>
      <c r="AE74" s="5">
        <v>6.2143499999999996</v>
      </c>
      <c r="AF74" s="83">
        <v>1.1243446000000001E-2</v>
      </c>
      <c r="AG74" s="5">
        <v>31.54026</v>
      </c>
      <c r="AH74" s="82">
        <v>7.3525841999999994E-2</v>
      </c>
    </row>
    <row r="75" spans="1:42" x14ac:dyDescent="0.3">
      <c r="R75" s="84" t="s">
        <v>6</v>
      </c>
      <c r="S75" s="85">
        <v>5.7794999999999996</v>
      </c>
      <c r="T75" s="92">
        <v>6.6802069999999996E-3</v>
      </c>
      <c r="U75" s="85">
        <v>8.0713000000000008</v>
      </c>
      <c r="V75" s="87">
        <v>8.6397750000000006E-3</v>
      </c>
      <c r="W75" s="85">
        <v>10.89293</v>
      </c>
      <c r="X75" s="92">
        <v>1.9486252999999999E-2</v>
      </c>
      <c r="Y75" s="85">
        <v>16.554510000000001</v>
      </c>
      <c r="Z75" s="87">
        <v>4.8090147E-2</v>
      </c>
      <c r="AA75" s="93">
        <v>20.099008000000001</v>
      </c>
      <c r="AB75" s="92">
        <v>2.8051008999999998E-2</v>
      </c>
      <c r="AC75" s="93">
        <v>40.476723999999997</v>
      </c>
      <c r="AD75" s="87">
        <v>4.1517730000000003E-2</v>
      </c>
      <c r="AE75" s="94">
        <v>6.1959</v>
      </c>
      <c r="AF75" s="87">
        <v>1.0139324E-2</v>
      </c>
      <c r="AG75" s="94">
        <v>31.85107</v>
      </c>
      <c r="AH75" s="86">
        <v>7.7648906000000004E-2</v>
      </c>
    </row>
    <row r="76" spans="1:42" x14ac:dyDescent="0.3">
      <c r="R76" s="77" t="s">
        <v>125</v>
      </c>
      <c r="S76" s="3">
        <v>5.7024900000000001</v>
      </c>
      <c r="T76" s="91">
        <v>6.9043409999999996E-3</v>
      </c>
      <c r="U76" s="3">
        <v>7.8000699999999998</v>
      </c>
      <c r="V76" s="83">
        <v>7.7284750000000003E-3</v>
      </c>
      <c r="W76" s="3">
        <v>10.55475</v>
      </c>
      <c r="X76" s="91">
        <v>2.0810444000000001E-2</v>
      </c>
      <c r="Y76" s="3">
        <v>15.89442</v>
      </c>
      <c r="Z76" s="83">
        <v>4.3624797999999999E-2</v>
      </c>
      <c r="AA76" s="57">
        <v>20.121901999999999</v>
      </c>
      <c r="AB76" s="91">
        <v>2.7463622E-2</v>
      </c>
      <c r="AC76" s="57">
        <v>40.492432000000001</v>
      </c>
      <c r="AD76" s="83">
        <v>3.7953515E-2</v>
      </c>
      <c r="AE76" s="60"/>
      <c r="AF76" s="80"/>
      <c r="AG76" s="60"/>
      <c r="AH76" s="60"/>
    </row>
    <row r="77" spans="1:42" x14ac:dyDescent="0.3">
      <c r="R77" s="77" t="s">
        <v>126</v>
      </c>
      <c r="S77" s="3">
        <v>5.7016900000000001</v>
      </c>
      <c r="T77" s="91">
        <v>8.578502E-3</v>
      </c>
      <c r="U77" s="3">
        <v>7.7960399999999996</v>
      </c>
      <c r="V77" s="83">
        <v>9.8094949999999997E-3</v>
      </c>
      <c r="W77" s="3">
        <v>10.49959</v>
      </c>
      <c r="X77" s="91">
        <v>2.0038436999999999E-2</v>
      </c>
      <c r="Y77" s="3">
        <v>15.85887</v>
      </c>
      <c r="Z77" s="83">
        <v>4.5283043000000002E-2</v>
      </c>
      <c r="AA77" s="57">
        <v>20.124108</v>
      </c>
      <c r="AB77" s="91">
        <v>2.8404525999999999E-2</v>
      </c>
      <c r="AC77" s="57">
        <v>40.502789</v>
      </c>
      <c r="AD77" s="83">
        <v>4.0765977000000002E-2</v>
      </c>
      <c r="AE77" s="60"/>
      <c r="AF77" s="80"/>
      <c r="AG77" s="60"/>
      <c r="AH77" s="60"/>
    </row>
    <row r="78" spans="1:42" x14ac:dyDescent="0.3">
      <c r="R78" s="77" t="s">
        <v>136</v>
      </c>
      <c r="S78" s="3">
        <v>5.6983300000000003</v>
      </c>
      <c r="T78" s="91">
        <v>6.9076950000000002E-3</v>
      </c>
      <c r="U78" s="3">
        <v>7.7932499999999996</v>
      </c>
      <c r="V78" s="83">
        <v>8.1540550000000003E-3</v>
      </c>
      <c r="W78" s="3">
        <v>10.494579999999999</v>
      </c>
      <c r="X78" s="91">
        <v>2.2626678000000001E-2</v>
      </c>
      <c r="Y78" s="3">
        <v>15.83921</v>
      </c>
      <c r="Z78" s="83">
        <v>4.7489284999999999E-2</v>
      </c>
      <c r="AA78" s="3"/>
      <c r="AB78" s="70"/>
      <c r="AC78" s="60"/>
      <c r="AD78" s="79"/>
      <c r="AE78" s="60"/>
      <c r="AF78" s="80"/>
      <c r="AG78" s="60"/>
      <c r="AH78" s="60"/>
    </row>
    <row r="79" spans="1:42" x14ac:dyDescent="0.3">
      <c r="R79" s="84" t="s">
        <v>137</v>
      </c>
      <c r="S79" s="85">
        <v>5.6982699999999999</v>
      </c>
      <c r="T79" s="92">
        <v>6.7220709999999996E-3</v>
      </c>
      <c r="U79" s="85">
        <v>7.7773599999999998</v>
      </c>
      <c r="V79" s="87">
        <v>8.1558849999999999E-3</v>
      </c>
      <c r="W79" s="85">
        <v>10.48072</v>
      </c>
      <c r="X79" s="92">
        <v>1.8895723999999999E-2</v>
      </c>
      <c r="Y79" s="85">
        <v>15.82619</v>
      </c>
      <c r="Z79" s="87">
        <v>4.5686518000000002E-2</v>
      </c>
      <c r="AA79" s="85"/>
      <c r="AB79" s="73"/>
      <c r="AC79" s="72"/>
      <c r="AD79" s="88"/>
      <c r="AE79" s="72"/>
      <c r="AF79" s="89"/>
      <c r="AG79" s="72"/>
      <c r="AH79" s="72"/>
    </row>
    <row r="80" spans="1:42" x14ac:dyDescent="0.3">
      <c r="B80" s="124"/>
      <c r="C80" s="124"/>
      <c r="D80" s="124"/>
      <c r="E80" s="124"/>
    </row>
    <row r="81" spans="1:42" x14ac:dyDescent="0.3">
      <c r="A81" s="2"/>
      <c r="B81" s="5"/>
      <c r="D81" s="5"/>
      <c r="S81" s="124" t="s">
        <v>1</v>
      </c>
      <c r="T81" s="124"/>
      <c r="U81" s="124"/>
      <c r="V81" s="124" t="s">
        <v>0</v>
      </c>
      <c r="W81" s="124"/>
      <c r="X81" s="124"/>
      <c r="Y81" s="124" t="s">
        <v>9</v>
      </c>
      <c r="Z81" s="124"/>
      <c r="AA81" s="124"/>
      <c r="AB81" s="124" t="s">
        <v>10</v>
      </c>
      <c r="AC81" s="124"/>
      <c r="AD81" s="124"/>
      <c r="AE81" s="124" t="s">
        <v>117</v>
      </c>
      <c r="AF81" s="124"/>
      <c r="AG81" s="124"/>
      <c r="AH81" s="124" t="s">
        <v>118</v>
      </c>
      <c r="AI81" s="124"/>
      <c r="AJ81" s="124"/>
      <c r="AK81" s="124" t="s">
        <v>13</v>
      </c>
      <c r="AL81" s="124"/>
      <c r="AM81" s="124"/>
      <c r="AN81" s="124" t="s">
        <v>50</v>
      </c>
      <c r="AO81" s="124"/>
      <c r="AP81" s="124"/>
    </row>
    <row r="82" spans="1:42" x14ac:dyDescent="0.3">
      <c r="A82" s="2"/>
      <c r="B82" s="61"/>
      <c r="D82" s="61"/>
      <c r="E82">
        <v>1</v>
      </c>
      <c r="S82" t="s">
        <v>169</v>
      </c>
      <c r="T82" t="s">
        <v>170</v>
      </c>
      <c r="U82" t="s">
        <v>171</v>
      </c>
      <c r="V82" t="s">
        <v>169</v>
      </c>
      <c r="W82" t="s">
        <v>170</v>
      </c>
      <c r="X82" t="s">
        <v>171</v>
      </c>
      <c r="Y82" t="s">
        <v>169</v>
      </c>
      <c r="Z82" t="s">
        <v>170</v>
      </c>
      <c r="AA82" t="s">
        <v>171</v>
      </c>
      <c r="AB82" t="s">
        <v>169</v>
      </c>
      <c r="AC82" t="s">
        <v>170</v>
      </c>
      <c r="AD82" t="s">
        <v>171</v>
      </c>
      <c r="AE82" t="s">
        <v>169</v>
      </c>
      <c r="AF82" t="s">
        <v>170</v>
      </c>
      <c r="AG82" t="s">
        <v>171</v>
      </c>
      <c r="AH82" t="s">
        <v>169</v>
      </c>
      <c r="AI82" t="s">
        <v>170</v>
      </c>
      <c r="AJ82" t="s">
        <v>171</v>
      </c>
      <c r="AK82" t="s">
        <v>169</v>
      </c>
      <c r="AL82" t="s">
        <v>170</v>
      </c>
      <c r="AM82" t="s">
        <v>171</v>
      </c>
      <c r="AN82" t="s">
        <v>169</v>
      </c>
      <c r="AO82" t="s">
        <v>170</v>
      </c>
      <c r="AP82" t="s">
        <v>171</v>
      </c>
    </row>
    <row r="83" spans="1:42" x14ac:dyDescent="0.3">
      <c r="R83" t="s">
        <v>5</v>
      </c>
      <c r="S83" s="161">
        <v>131.95493835416667</v>
      </c>
      <c r="T83" s="161">
        <v>129.7382684707639</v>
      </c>
      <c r="U83" s="161">
        <v>117.46</v>
      </c>
      <c r="V83" s="161">
        <v>368.51618205208416</v>
      </c>
      <c r="W83" s="161">
        <v>362.31028836568208</v>
      </c>
      <c r="X83" s="161">
        <v>321.43</v>
      </c>
      <c r="Y83" s="161">
        <v>189.89190029582471</v>
      </c>
      <c r="Z83" s="161">
        <v>186.59921567704944</v>
      </c>
      <c r="AA83" s="161">
        <v>178.05</v>
      </c>
      <c r="AB83" s="161">
        <v>443.37238547081665</v>
      </c>
      <c r="AC83" s="161">
        <v>433.45853608449164</v>
      </c>
      <c r="AD83" s="161">
        <v>493.91</v>
      </c>
      <c r="AE83" s="161">
        <v>1.257073763666186</v>
      </c>
      <c r="AF83" s="161">
        <v>1.2276901571485721</v>
      </c>
      <c r="AG83" s="161">
        <v>0.57499999999999996</v>
      </c>
      <c r="AH83" s="161">
        <v>2.2014748330277332</v>
      </c>
      <c r="AI83" s="161">
        <v>2.1481995921664749</v>
      </c>
      <c r="AJ83" s="161">
        <v>0.98099999999999998</v>
      </c>
      <c r="AK83" s="161">
        <v>39.671702506100502</v>
      </c>
      <c r="AL83" s="161">
        <v>39.148381932576498</v>
      </c>
      <c r="AM83" s="161">
        <v>38.590000000000003</v>
      </c>
      <c r="AN83" s="161">
        <v>18.371323138612222</v>
      </c>
      <c r="AO83" s="161">
        <v>17.945756386650888</v>
      </c>
      <c r="AP83" s="161">
        <v>36.01</v>
      </c>
    </row>
    <row r="84" spans="1:42" x14ac:dyDescent="0.3">
      <c r="R84" t="s">
        <v>6</v>
      </c>
      <c r="S84" s="161">
        <v>439.51684576671619</v>
      </c>
      <c r="T84" s="161">
        <v>125.01231548123326</v>
      </c>
      <c r="U84" s="161">
        <v>121.3</v>
      </c>
      <c r="V84" s="161">
        <v>1425.2571269458422</v>
      </c>
      <c r="W84" s="161">
        <v>371.76904847122671</v>
      </c>
      <c r="X84" s="161">
        <v>332.14</v>
      </c>
      <c r="Y84" s="161">
        <v>1373.5088472155453</v>
      </c>
      <c r="Z84" s="161">
        <v>162.09818595414706</v>
      </c>
      <c r="AA84" s="161">
        <v>183.7</v>
      </c>
      <c r="AB84" s="161">
        <v>2205.6554116518037</v>
      </c>
      <c r="AC84" s="161">
        <v>332.65717319579682</v>
      </c>
      <c r="AD84" s="161">
        <v>509.73</v>
      </c>
      <c r="AE84" s="161">
        <f>AE83 * (1+AE89)</f>
        <v>4.1928033631048249</v>
      </c>
      <c r="AF84" s="161">
        <f>AF83 * (1+AF89)</f>
        <v>1.2251224598830137</v>
      </c>
      <c r="AG84" s="161">
        <v>0.58899999999999997</v>
      </c>
      <c r="AH84" s="161">
        <f>AH83 * (1+AH89)</f>
        <v>8.5823695128177899</v>
      </c>
      <c r="AI84" s="161">
        <f>AI83 * (1+AI89)</f>
        <v>2.1330539112668832</v>
      </c>
      <c r="AJ84" s="161">
        <v>1.012</v>
      </c>
      <c r="AK84" s="161">
        <v>141.19042944942248</v>
      </c>
      <c r="AL84" s="161">
        <v>40.801799110066547</v>
      </c>
      <c r="AM84" s="161">
        <v>39.18</v>
      </c>
      <c r="AN84" s="161">
        <v>51.082683878337512</v>
      </c>
      <c r="AO84" s="161">
        <v>16.257101303996564</v>
      </c>
      <c r="AP84" s="161">
        <v>37.68</v>
      </c>
    </row>
    <row r="85" spans="1:42" x14ac:dyDescent="0.3">
      <c r="R85" t="s">
        <v>125</v>
      </c>
      <c r="S85" s="161">
        <v>140.39869975829055</v>
      </c>
      <c r="T85" s="161">
        <v>137.51701189676916</v>
      </c>
      <c r="U85" s="161">
        <v>95.73</v>
      </c>
      <c r="V85" s="161">
        <v>475.27501961042924</v>
      </c>
      <c r="W85" s="161">
        <v>466.79827645619582</v>
      </c>
      <c r="X85" s="161">
        <v>275</v>
      </c>
      <c r="Y85" s="161">
        <v>217.57804486804446</v>
      </c>
      <c r="Z85" s="161">
        <v>213.48448456658252</v>
      </c>
      <c r="AA85" s="161">
        <v>132.38</v>
      </c>
      <c r="AB85" s="161">
        <v>650.57963847507085</v>
      </c>
      <c r="AC85" s="161">
        <v>639.8688555399583</v>
      </c>
      <c r="AD85" s="161">
        <v>481.13</v>
      </c>
      <c r="AE85" s="161">
        <v>1.5925522910961747</v>
      </c>
      <c r="AF85" s="161">
        <v>1.5594114682939306</v>
      </c>
      <c r="AG85" s="161">
        <v>1.0229999999999999</v>
      </c>
      <c r="AH85" s="161">
        <v>2.6560046044309669</v>
      </c>
      <c r="AI85" s="161">
        <v>2.6043751191033193</v>
      </c>
      <c r="AJ85" s="161">
        <v>2.1669999999999998</v>
      </c>
      <c r="AK85" s="161"/>
      <c r="AL85" s="161"/>
      <c r="AM85" s="161"/>
      <c r="AN85" s="161"/>
      <c r="AO85" s="161"/>
      <c r="AP85" s="161"/>
    </row>
    <row r="86" spans="1:42" x14ac:dyDescent="0.3">
      <c r="R86" t="s">
        <v>126</v>
      </c>
      <c r="S86" s="161">
        <v>605.9034247160107</v>
      </c>
      <c r="T86" s="161">
        <v>128.11068036331795</v>
      </c>
      <c r="U86" s="161">
        <v>98.51</v>
      </c>
      <c r="V86" s="161">
        <v>1041.4737048937375</v>
      </c>
      <c r="W86" s="161">
        <v>487.67370391335766</v>
      </c>
      <c r="X86" s="161">
        <v>281.16000000000003</v>
      </c>
      <c r="Y86" s="161">
        <v>844.68337685516121</v>
      </c>
      <c r="Z86" s="161">
        <v>195.47797720199404</v>
      </c>
      <c r="AA86" s="161">
        <v>137.91</v>
      </c>
      <c r="AB86" s="161">
        <v>1501.1317857092258</v>
      </c>
      <c r="AC86" s="161">
        <v>613.56702125652271</v>
      </c>
      <c r="AD86" s="161">
        <v>504.99</v>
      </c>
      <c r="AE86" s="161">
        <f>AE85 * (1+AE90)</f>
        <v>6.8559739225296692</v>
      </c>
      <c r="AF86" s="161">
        <f>AF85 * (1+AF90)</f>
        <v>1.3922373753356823</v>
      </c>
      <c r="AG86" s="161">
        <v>1.0449999999999999</v>
      </c>
      <c r="AH86" s="161">
        <f>AH85 * (1+AH89)</f>
        <v>10.354337283802527</v>
      </c>
      <c r="AI86" s="161">
        <f>AI85 * (1+AI89)</f>
        <v>2.5860132151905666</v>
      </c>
      <c r="AJ86" s="161">
        <v>2.2389999999999999</v>
      </c>
      <c r="AK86" s="161"/>
      <c r="AL86" s="161"/>
      <c r="AM86" s="161"/>
      <c r="AN86" s="161"/>
      <c r="AO86" s="161"/>
      <c r="AP86" s="161"/>
    </row>
    <row r="87" spans="1:42" x14ac:dyDescent="0.3">
      <c r="R87" t="s">
        <v>136</v>
      </c>
      <c r="S87" s="161">
        <v>140.10130993739139</v>
      </c>
      <c r="T87" s="161">
        <v>137.40814344618028</v>
      </c>
      <c r="U87" s="161">
        <v>93.51</v>
      </c>
      <c r="V87" s="161">
        <v>413.8919644186596</v>
      </c>
      <c r="W87" s="161">
        <v>432.48513215382502</v>
      </c>
      <c r="X87" s="161">
        <v>390.44</v>
      </c>
      <c r="Y87" s="161">
        <v>216.12936025005362</v>
      </c>
      <c r="Z87" s="161">
        <v>212.17150550418418</v>
      </c>
      <c r="AA87" s="161">
        <v>158.1</v>
      </c>
      <c r="AB87" s="161">
        <v>564.67402430425841</v>
      </c>
      <c r="AC87" s="161">
        <v>575.18739662170412</v>
      </c>
      <c r="AD87" s="161">
        <v>610.54999999999995</v>
      </c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</row>
    <row r="88" spans="1:42" x14ac:dyDescent="0.3">
      <c r="R88" t="s">
        <v>137</v>
      </c>
      <c r="S88" s="161">
        <v>1882.3397858910494</v>
      </c>
      <c r="T88" s="161">
        <v>123.51436856208795</v>
      </c>
      <c r="U88" s="161">
        <v>96.754999999999995</v>
      </c>
      <c r="V88" s="161">
        <v>3388.4770739600795</v>
      </c>
      <c r="W88" s="161">
        <v>410.35014963217435</v>
      </c>
      <c r="X88" s="161">
        <v>402.99</v>
      </c>
      <c r="Y88" s="161">
        <v>1997.607136926367</v>
      </c>
      <c r="Z88" s="161">
        <v>185.30070856442586</v>
      </c>
      <c r="AA88" s="161">
        <v>164.1</v>
      </c>
      <c r="AB88" s="161">
        <v>9998.4275239570543</v>
      </c>
      <c r="AC88" s="161">
        <v>506.90167405520515</v>
      </c>
      <c r="AD88" s="161">
        <v>639.88</v>
      </c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</row>
    <row r="89" spans="1:42" x14ac:dyDescent="0.3">
      <c r="R89" t="s">
        <v>138</v>
      </c>
      <c r="S89" s="162">
        <f t="shared" ref="S89:T89" si="7">(S84-S83)/S83</f>
        <v>2.3308101329792925</v>
      </c>
      <c r="T89" s="162">
        <f t="shared" si="7"/>
        <v>-3.642682336704392E-2</v>
      </c>
      <c r="U89" s="162">
        <f>(U84-U83)/U83</f>
        <v>3.26919802485953E-2</v>
      </c>
      <c r="V89" s="162">
        <f t="shared" ref="V89:AP89" si="8">(V84-V83)/V83</f>
        <v>2.867556423192303</v>
      </c>
      <c r="W89" s="162">
        <f t="shared" si="8"/>
        <v>2.6106794118962034E-2</v>
      </c>
      <c r="X89" s="162">
        <f t="shared" si="8"/>
        <v>3.3319851911769213E-2</v>
      </c>
      <c r="Y89" s="162">
        <f t="shared" si="8"/>
        <v>6.2331091798850453</v>
      </c>
      <c r="Z89" s="162">
        <f t="shared" si="8"/>
        <v>-0.13130296198729341</v>
      </c>
      <c r="AA89" s="162">
        <f t="shared" si="8"/>
        <v>3.173265936534668E-2</v>
      </c>
      <c r="AB89" s="162">
        <f t="shared" si="8"/>
        <v>3.9747243715000891</v>
      </c>
      <c r="AC89" s="162">
        <f t="shared" si="8"/>
        <v>-0.23255133881835974</v>
      </c>
      <c r="AD89" s="162">
        <f t="shared" si="8"/>
        <v>3.2030126946204759E-2</v>
      </c>
      <c r="AE89" s="162">
        <v>2.3353678075952726</v>
      </c>
      <c r="AF89" s="162">
        <v>-2.0914863987524929E-3</v>
      </c>
      <c r="AG89" s="162">
        <f t="shared" si="8"/>
        <v>2.4347826086956546E-2</v>
      </c>
      <c r="AH89" s="162">
        <v>2.8984636045165604</v>
      </c>
      <c r="AI89" s="162">
        <v>-7.0504067475021664E-3</v>
      </c>
      <c r="AJ89" s="162">
        <f t="shared" si="8"/>
        <v>3.1600407747196767E-2</v>
      </c>
      <c r="AK89" s="162">
        <f>(AK84-AK83)/AK83</f>
        <v>2.5589707658175489</v>
      </c>
      <c r="AL89" s="162">
        <f>(AL84-AL83)/AL83</f>
        <v>4.2234623651563809E-2</v>
      </c>
      <c r="AM89" s="162">
        <f t="shared" si="8"/>
        <v>1.5288934957242713E-2</v>
      </c>
      <c r="AN89" s="162">
        <f t="shared" si="8"/>
        <v>1.7805664019361604</v>
      </c>
      <c r="AO89" s="162">
        <f t="shared" si="8"/>
        <v>-9.4097737998407593E-2</v>
      </c>
      <c r="AP89" s="162">
        <f t="shared" si="8"/>
        <v>4.6376006664815381E-2</v>
      </c>
    </row>
    <row r="90" spans="1:42" x14ac:dyDescent="0.3">
      <c r="R90" t="s">
        <v>139</v>
      </c>
      <c r="S90" s="162">
        <f t="shared" ref="S90:T90" si="9">(S86-S85)/S85</f>
        <v>3.315591424700727</v>
      </c>
      <c r="T90" s="162">
        <f t="shared" si="9"/>
        <v>-6.8401221083194588E-2</v>
      </c>
      <c r="U90" s="162">
        <f>(U86-U85)/U85</f>
        <v>2.9040008356836948E-2</v>
      </c>
      <c r="V90" s="162">
        <f t="shared" ref="V90:AJ90" si="10">(V86-V85)/V85</f>
        <v>1.1913074786623685</v>
      </c>
      <c r="W90" s="162">
        <f t="shared" si="10"/>
        <v>4.4720446732670782E-2</v>
      </c>
      <c r="X90" s="162">
        <f t="shared" si="10"/>
        <v>2.240000000000009E-2</v>
      </c>
      <c r="Y90" s="162">
        <f t="shared" si="10"/>
        <v>2.8822086914488092</v>
      </c>
      <c r="Z90" s="162">
        <f t="shared" si="10"/>
        <v>-8.4345742507449223E-2</v>
      </c>
      <c r="AA90" s="162">
        <f t="shared" si="10"/>
        <v>4.1773681825049112E-2</v>
      </c>
      <c r="AB90" s="162">
        <f t="shared" si="10"/>
        <v>1.3073759105461871</v>
      </c>
      <c r="AC90" s="162">
        <f t="shared" si="10"/>
        <v>-4.1105039033726046E-2</v>
      </c>
      <c r="AD90" s="162">
        <f t="shared" si="10"/>
        <v>4.9591586473510307E-2</v>
      </c>
      <c r="AE90" s="162">
        <v>3.3050227994778192</v>
      </c>
      <c r="AF90" s="162">
        <v>-0.10720332404708086</v>
      </c>
      <c r="AG90" s="162">
        <f t="shared" si="10"/>
        <v>2.1505376344086044E-2</v>
      </c>
      <c r="AH90" s="162">
        <v>1.1584234494894656</v>
      </c>
      <c r="AI90" s="162">
        <v>7.5549316230388838E-2</v>
      </c>
      <c r="AJ90" s="162">
        <f t="shared" si="10"/>
        <v>3.3225657591139858E-2</v>
      </c>
      <c r="AK90" s="162"/>
      <c r="AL90" s="162"/>
      <c r="AM90" s="162"/>
      <c r="AN90" s="162"/>
      <c r="AO90" s="162"/>
      <c r="AP90" s="162"/>
    </row>
    <row r="91" spans="1:42" x14ac:dyDescent="0.3">
      <c r="R91" t="s">
        <v>140</v>
      </c>
      <c r="S91" s="162">
        <f t="shared" ref="S91:T91" si="11">(S88-S87)/S87</f>
        <v>12.435561642730045</v>
      </c>
      <c r="T91" s="162">
        <f t="shared" si="11"/>
        <v>-0.10111318394702136</v>
      </c>
      <c r="U91" s="162">
        <f>(U88-U87)/U87</f>
        <v>3.4702170890813712E-2</v>
      </c>
      <c r="V91" s="162">
        <f t="shared" ref="V91:AD91" si="12">(V88-V87)/V87</f>
        <v>7.186863638967802</v>
      </c>
      <c r="W91" s="162">
        <f t="shared" si="12"/>
        <v>-5.1180909760795583E-2</v>
      </c>
      <c r="X91" s="162">
        <f t="shared" si="12"/>
        <v>3.2143223030427243E-2</v>
      </c>
      <c r="Y91" s="162">
        <f t="shared" si="12"/>
        <v>8.2426458608641138</v>
      </c>
      <c r="Z91" s="162">
        <f t="shared" si="12"/>
        <v>-0.12664658657110961</v>
      </c>
      <c r="AA91" s="162">
        <f t="shared" si="12"/>
        <v>3.7950664136622389E-2</v>
      </c>
      <c r="AB91" s="162">
        <f t="shared" si="12"/>
        <v>16.706547660442208</v>
      </c>
      <c r="AC91" s="162">
        <f t="shared" si="12"/>
        <v>-0.11871908697507487</v>
      </c>
      <c r="AD91" s="162">
        <f t="shared" si="12"/>
        <v>4.803865367291793E-2</v>
      </c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</row>
    <row r="92" spans="1:42" x14ac:dyDescent="0.3"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  <c r="AM92" s="101"/>
      <c r="AN92" s="101"/>
      <c r="AO92" s="101"/>
      <c r="AP92" s="101"/>
    </row>
    <row r="93" spans="1:42" x14ac:dyDescent="0.3">
      <c r="R93" s="96"/>
      <c r="S93" s="127" t="s">
        <v>1</v>
      </c>
      <c r="T93" s="127"/>
      <c r="U93" s="128"/>
      <c r="V93" s="127" t="s">
        <v>0</v>
      </c>
      <c r="W93" s="127"/>
      <c r="X93" s="129"/>
      <c r="Y93" s="127" t="s">
        <v>9</v>
      </c>
      <c r="Z93" s="127"/>
      <c r="AA93" s="128"/>
      <c r="AB93" s="127" t="s">
        <v>10</v>
      </c>
      <c r="AC93" s="127"/>
      <c r="AD93" s="129"/>
      <c r="AE93" s="130" t="s">
        <v>117</v>
      </c>
      <c r="AF93" s="130"/>
      <c r="AG93" s="132"/>
      <c r="AH93" s="130" t="s">
        <v>118</v>
      </c>
      <c r="AI93" s="130"/>
      <c r="AJ93" s="131"/>
      <c r="AK93" s="130" t="s">
        <v>13</v>
      </c>
      <c r="AL93" s="130"/>
      <c r="AM93" s="131"/>
      <c r="AN93" s="130" t="s">
        <v>50</v>
      </c>
      <c r="AO93" s="130"/>
      <c r="AP93" s="130"/>
    </row>
    <row r="94" spans="1:42" ht="14.6" thickBot="1" x14ac:dyDescent="0.35">
      <c r="R94" s="97"/>
      <c r="S94" s="95" t="s">
        <v>151</v>
      </c>
      <c r="T94" s="95" t="s">
        <v>152</v>
      </c>
      <c r="U94" s="100" t="s">
        <v>153</v>
      </c>
      <c r="V94" s="95" t="s">
        <v>151</v>
      </c>
      <c r="W94" s="95" t="s">
        <v>152</v>
      </c>
      <c r="X94" s="98" t="s">
        <v>153</v>
      </c>
      <c r="Y94" s="95" t="s">
        <v>151</v>
      </c>
      <c r="Z94" s="95" t="s">
        <v>152</v>
      </c>
      <c r="AA94" s="100" t="s">
        <v>153</v>
      </c>
      <c r="AB94" s="95" t="s">
        <v>151</v>
      </c>
      <c r="AC94" s="95" t="s">
        <v>152</v>
      </c>
      <c r="AD94" s="98" t="s">
        <v>153</v>
      </c>
      <c r="AE94" s="95" t="s">
        <v>151</v>
      </c>
      <c r="AF94" s="95" t="s">
        <v>152</v>
      </c>
      <c r="AG94" s="100" t="s">
        <v>153</v>
      </c>
      <c r="AH94" s="95" t="s">
        <v>151</v>
      </c>
      <c r="AI94" s="95" t="s">
        <v>152</v>
      </c>
      <c r="AJ94" s="98" t="s">
        <v>153</v>
      </c>
      <c r="AK94" s="95" t="s">
        <v>151</v>
      </c>
      <c r="AL94" s="95" t="s">
        <v>152</v>
      </c>
      <c r="AM94" s="98" t="s">
        <v>153</v>
      </c>
      <c r="AN94" s="95" t="s">
        <v>151</v>
      </c>
      <c r="AO94" s="95" t="s">
        <v>152</v>
      </c>
      <c r="AP94" s="95" t="s">
        <v>153</v>
      </c>
    </row>
    <row r="95" spans="1:42" ht="14.6" thickTop="1" x14ac:dyDescent="0.3">
      <c r="R95" s="96" t="s">
        <v>5</v>
      </c>
      <c r="S95" s="3">
        <v>5.7940300000000002</v>
      </c>
      <c r="T95" s="3">
        <v>5.7940300000000002</v>
      </c>
      <c r="U95" s="23">
        <v>5.7794999999999996</v>
      </c>
      <c r="V95" s="3">
        <v>8.1232500000000005</v>
      </c>
      <c r="W95" s="3">
        <v>8.1232500000000005</v>
      </c>
      <c r="X95" s="99">
        <v>8.0713000000000008</v>
      </c>
      <c r="Y95" s="3">
        <v>10.949009999999999</v>
      </c>
      <c r="Z95" s="3">
        <v>10.9476</v>
      </c>
      <c r="AA95" s="23">
        <v>10.89293</v>
      </c>
      <c r="AB95" s="3">
        <v>16.58043</v>
      </c>
      <c r="AC95" s="3">
        <v>16.578700000000001</v>
      </c>
      <c r="AD95" s="99">
        <v>16.554510000000001</v>
      </c>
      <c r="AE95" s="3">
        <v>20.089213000000001</v>
      </c>
      <c r="AF95" s="3">
        <v>20.089213000000001</v>
      </c>
      <c r="AG95" s="23">
        <v>20.099008000000001</v>
      </c>
      <c r="AH95" s="3">
        <v>40.464886</v>
      </c>
      <c r="AI95" s="3">
        <v>40.464886</v>
      </c>
      <c r="AJ95" s="99">
        <v>40.476723999999997</v>
      </c>
      <c r="AK95" s="3">
        <v>6.2143499999999996</v>
      </c>
      <c r="AL95" s="59">
        <v>6.2138299999999997</v>
      </c>
      <c r="AM95" s="99">
        <v>6.1959</v>
      </c>
      <c r="AN95" s="3">
        <v>31.54026</v>
      </c>
      <c r="AO95" s="3">
        <v>31.54026</v>
      </c>
      <c r="AP95" s="3">
        <v>31.85107</v>
      </c>
    </row>
    <row r="96" spans="1:42" x14ac:dyDescent="0.3">
      <c r="R96" s="96" t="s">
        <v>125</v>
      </c>
      <c r="S96" s="3">
        <v>5.7024900000000001</v>
      </c>
      <c r="T96" s="3">
        <v>5.7024900000000001</v>
      </c>
      <c r="U96" s="23">
        <v>5.7016900000000001</v>
      </c>
      <c r="V96" s="3">
        <v>7.8000699999999998</v>
      </c>
      <c r="W96" s="3">
        <v>7.8000699999999998</v>
      </c>
      <c r="X96" s="99">
        <v>7.7960399999999996</v>
      </c>
      <c r="Y96" s="3">
        <v>10.55475</v>
      </c>
      <c r="Z96" s="3">
        <v>10.553599999999999</v>
      </c>
      <c r="AA96" s="23">
        <v>10.49959</v>
      </c>
      <c r="AB96" s="3">
        <v>15.89442</v>
      </c>
      <c r="AC96" s="3">
        <v>15.890599999999999</v>
      </c>
      <c r="AD96" s="99">
        <v>15.85887</v>
      </c>
      <c r="AE96" s="3">
        <v>20.121901999999999</v>
      </c>
      <c r="AF96" s="3">
        <v>20.121901999999999</v>
      </c>
      <c r="AG96" s="23">
        <v>20.124108</v>
      </c>
      <c r="AH96" s="3">
        <v>40.492432000000001</v>
      </c>
      <c r="AI96" s="3">
        <v>40.492432000000001</v>
      </c>
      <c r="AJ96" s="99">
        <v>40.502789</v>
      </c>
      <c r="AK96" s="108" t="s">
        <v>172</v>
      </c>
      <c r="AL96" s="108" t="s">
        <v>172</v>
      </c>
      <c r="AM96" s="109" t="s">
        <v>172</v>
      </c>
      <c r="AN96" s="108" t="s">
        <v>172</v>
      </c>
      <c r="AO96" s="108" t="s">
        <v>172</v>
      </c>
      <c r="AP96" s="108" t="s">
        <v>172</v>
      </c>
    </row>
    <row r="97" spans="18:42" ht="14.6" thickBot="1" x14ac:dyDescent="0.35">
      <c r="R97" s="97" t="s">
        <v>136</v>
      </c>
      <c r="S97" s="95">
        <v>5.6983300000000003</v>
      </c>
      <c r="T97" s="95">
        <v>5.6983300000000003</v>
      </c>
      <c r="U97" s="100">
        <v>5.6982699999999999</v>
      </c>
      <c r="V97" s="95">
        <v>7.7932499999999996</v>
      </c>
      <c r="W97" s="95">
        <v>7.7932499999999996</v>
      </c>
      <c r="X97" s="98">
        <v>7.7773599999999998</v>
      </c>
      <c r="Y97" s="95">
        <v>10.494579999999999</v>
      </c>
      <c r="Z97" s="95">
        <v>10.493119999999999</v>
      </c>
      <c r="AA97" s="100">
        <v>10.48072</v>
      </c>
      <c r="AB97" s="95">
        <v>15.83921</v>
      </c>
      <c r="AC97" s="95">
        <v>15.835570000000001</v>
      </c>
      <c r="AD97" s="98">
        <v>15.82619</v>
      </c>
      <c r="AE97" s="105" t="s">
        <v>172</v>
      </c>
      <c r="AF97" s="105" t="s">
        <v>172</v>
      </c>
      <c r="AG97" s="106" t="s">
        <v>172</v>
      </c>
      <c r="AH97" s="105" t="s">
        <v>172</v>
      </c>
      <c r="AI97" s="105" t="s">
        <v>172</v>
      </c>
      <c r="AJ97" s="107" t="s">
        <v>172</v>
      </c>
      <c r="AK97" s="105" t="s">
        <v>172</v>
      </c>
      <c r="AL97" s="105" t="s">
        <v>172</v>
      </c>
      <c r="AM97" s="107" t="s">
        <v>172</v>
      </c>
      <c r="AN97" s="105" t="s">
        <v>172</v>
      </c>
      <c r="AO97" s="105" t="s">
        <v>172</v>
      </c>
      <c r="AP97" s="105" t="s">
        <v>172</v>
      </c>
    </row>
    <row r="98" spans="18:42" ht="14.6" thickTop="1" x14ac:dyDescent="0.3">
      <c r="R98" s="102" t="s">
        <v>158</v>
      </c>
      <c r="S98" s="104" t="s">
        <v>172</v>
      </c>
      <c r="T98" s="103">
        <v>6.1970000000000001</v>
      </c>
      <c r="U98" s="110" t="s">
        <v>172</v>
      </c>
      <c r="V98" s="104" t="s">
        <v>172</v>
      </c>
      <c r="W98" s="103">
        <v>8.3308</v>
      </c>
      <c r="X98" s="111" t="s">
        <v>172</v>
      </c>
      <c r="Y98" s="104" t="s">
        <v>172</v>
      </c>
      <c r="Z98" s="103">
        <v>11.426</v>
      </c>
      <c r="AA98" s="110" t="s">
        <v>172</v>
      </c>
      <c r="AB98" s="104" t="s">
        <v>172</v>
      </c>
      <c r="AC98" s="103">
        <v>18.58897</v>
      </c>
      <c r="AD98" s="111" t="s">
        <v>172</v>
      </c>
      <c r="AE98" s="104" t="s">
        <v>172</v>
      </c>
      <c r="AF98" s="103">
        <v>17.038</v>
      </c>
      <c r="AG98" s="110" t="s">
        <v>172</v>
      </c>
      <c r="AH98" s="104" t="s">
        <v>172</v>
      </c>
      <c r="AI98" s="103">
        <v>31.357299999999999</v>
      </c>
      <c r="AJ98" s="111" t="s">
        <v>172</v>
      </c>
      <c r="AK98" s="104" t="s">
        <v>172</v>
      </c>
      <c r="AL98" s="103">
        <v>6.32</v>
      </c>
      <c r="AM98" s="111" t="s">
        <v>172</v>
      </c>
      <c r="AN98" s="104" t="s">
        <v>172</v>
      </c>
      <c r="AO98" s="103">
        <v>29.952000000000002</v>
      </c>
      <c r="AP98" s="112" t="s">
        <v>172</v>
      </c>
    </row>
    <row r="99" spans="18:42" x14ac:dyDescent="0.3">
      <c r="T99" t="s">
        <v>159</v>
      </c>
      <c r="W99" t="s">
        <v>160</v>
      </c>
      <c r="Z99" t="s">
        <v>161</v>
      </c>
      <c r="AC99" t="s">
        <v>162</v>
      </c>
      <c r="AF99" t="s">
        <v>164</v>
      </c>
      <c r="AI99" t="s">
        <v>166</v>
      </c>
      <c r="AL99" t="s">
        <v>165</v>
      </c>
      <c r="AO99" t="s">
        <v>163</v>
      </c>
    </row>
    <row r="101" spans="18:42" x14ac:dyDescent="0.3">
      <c r="R101" s="101"/>
      <c r="S101" s="101"/>
      <c r="T101" s="101"/>
      <c r="U101" s="101"/>
      <c r="V101" s="101" t="s">
        <v>50</v>
      </c>
      <c r="W101" s="101"/>
      <c r="X101" s="101"/>
      <c r="Y101" s="101" t="s">
        <v>117</v>
      </c>
      <c r="Z101" s="101"/>
      <c r="AA101" s="101"/>
      <c r="AB101" s="101" t="s">
        <v>118</v>
      </c>
      <c r="AC101" s="101"/>
      <c r="AD101" s="101"/>
    </row>
    <row r="102" spans="18:42" x14ac:dyDescent="0.3">
      <c r="R102" s="114"/>
      <c r="S102" s="125" t="s">
        <v>174</v>
      </c>
      <c r="T102" s="125"/>
      <c r="U102" s="126"/>
      <c r="V102" s="155" t="s">
        <v>175</v>
      </c>
      <c r="W102" s="155"/>
      <c r="X102" s="156"/>
      <c r="Y102" s="158" t="s">
        <v>9</v>
      </c>
      <c r="Z102" s="158"/>
      <c r="AA102" s="159"/>
      <c r="AB102" s="124" t="s">
        <v>10</v>
      </c>
      <c r="AC102" s="124"/>
      <c r="AD102" s="124"/>
    </row>
    <row r="103" spans="18:42" ht="14.6" thickBot="1" x14ac:dyDescent="0.35">
      <c r="R103" s="116"/>
      <c r="S103" s="117" t="s">
        <v>176</v>
      </c>
      <c r="T103" s="117" t="s">
        <v>177</v>
      </c>
      <c r="U103" s="120" t="s">
        <v>178</v>
      </c>
      <c r="V103" s="117" t="s">
        <v>176</v>
      </c>
      <c r="W103" s="117" t="s">
        <v>177</v>
      </c>
      <c r="X103" s="152" t="s">
        <v>178</v>
      </c>
      <c r="Y103" s="117" t="s">
        <v>2</v>
      </c>
      <c r="Z103" s="117" t="s">
        <v>3</v>
      </c>
      <c r="AA103" s="120" t="s">
        <v>4</v>
      </c>
      <c r="AB103" s="117" t="s">
        <v>2</v>
      </c>
      <c r="AC103" s="117" t="s">
        <v>3</v>
      </c>
      <c r="AD103" s="117" t="s">
        <v>4</v>
      </c>
    </row>
    <row r="104" spans="18:42" ht="14.6" thickTop="1" x14ac:dyDescent="0.3">
      <c r="R104" s="115" t="s">
        <v>179</v>
      </c>
      <c r="S104" s="113">
        <v>5.69</v>
      </c>
      <c r="T104" s="113" t="s">
        <v>173</v>
      </c>
      <c r="U104" s="151" t="s">
        <v>173</v>
      </c>
      <c r="V104" s="113">
        <v>7.7610000000000001</v>
      </c>
      <c r="W104" s="113" t="s">
        <v>173</v>
      </c>
      <c r="X104" s="153" t="s">
        <v>173</v>
      </c>
      <c r="Y104" s="123" t="s">
        <v>172</v>
      </c>
      <c r="Z104" s="123" t="s">
        <v>172</v>
      </c>
      <c r="AA104" s="157" t="s">
        <v>172</v>
      </c>
      <c r="AB104" s="123" t="s">
        <v>172</v>
      </c>
      <c r="AC104" s="123" t="s">
        <v>172</v>
      </c>
      <c r="AD104" s="123" t="s">
        <v>172</v>
      </c>
    </row>
    <row r="105" spans="18:42" x14ac:dyDescent="0.3">
      <c r="R105" s="160" t="s">
        <v>30</v>
      </c>
      <c r="S105" s="163" t="s">
        <v>172</v>
      </c>
      <c r="T105" s="163" t="s">
        <v>172</v>
      </c>
      <c r="U105" s="164" t="s">
        <v>172</v>
      </c>
      <c r="V105" s="163" t="s">
        <v>172</v>
      </c>
      <c r="W105" s="163" t="s">
        <v>172</v>
      </c>
      <c r="X105" s="165" t="s">
        <v>172</v>
      </c>
      <c r="Y105" s="166">
        <v>10.3659</v>
      </c>
      <c r="Z105" s="163" t="s">
        <v>172</v>
      </c>
      <c r="AA105" s="24" t="s">
        <v>146</v>
      </c>
      <c r="AB105" s="9">
        <v>15.585699999999999</v>
      </c>
      <c r="AC105" s="163" t="s">
        <v>172</v>
      </c>
      <c r="AD105" s="9" t="s">
        <v>187</v>
      </c>
    </row>
    <row r="106" spans="18:42" x14ac:dyDescent="0.3">
      <c r="R106" s="115" t="s">
        <v>180</v>
      </c>
      <c r="S106" s="113">
        <v>5.702</v>
      </c>
      <c r="T106" s="170">
        <v>2E-3</v>
      </c>
      <c r="U106" s="121" t="s">
        <v>181</v>
      </c>
      <c r="V106" s="113">
        <v>7.8259999999999996</v>
      </c>
      <c r="W106" s="170">
        <v>8.0000000000000002E-3</v>
      </c>
      <c r="X106" s="153" t="s">
        <v>182</v>
      </c>
      <c r="Y106" s="82">
        <v>11.471322000000001</v>
      </c>
      <c r="Z106" s="170">
        <f>(Y106-Y105)/Y105</f>
        <v>0.10664023384366055</v>
      </c>
      <c r="AA106" s="167" t="s">
        <v>186</v>
      </c>
      <c r="AB106" s="82">
        <v>17.440550000000002</v>
      </c>
      <c r="AC106" s="170">
        <f>(AB106-AB105)/AB105</f>
        <v>0.11900973328114892</v>
      </c>
      <c r="AD106" s="60" t="s">
        <v>186</v>
      </c>
    </row>
    <row r="107" spans="18:42" x14ac:dyDescent="0.3">
      <c r="R107" s="118" t="s">
        <v>183</v>
      </c>
      <c r="S107" s="119">
        <v>5.8390000000000004</v>
      </c>
      <c r="T107" s="171">
        <v>2.5999999999999999E-2</v>
      </c>
      <c r="U107" s="122" t="s">
        <v>184</v>
      </c>
      <c r="V107" s="119">
        <v>7.9649999999999999</v>
      </c>
      <c r="W107" s="171">
        <v>2.5999999999999999E-2</v>
      </c>
      <c r="X107" s="154" t="s">
        <v>185</v>
      </c>
      <c r="Y107" s="168">
        <v>10.762</v>
      </c>
      <c r="Z107" s="170">
        <f>(Y107-Y105)/Y105</f>
        <v>3.8211829170646118E-2</v>
      </c>
      <c r="AA107" s="169" t="s">
        <v>149</v>
      </c>
      <c r="AB107" s="168">
        <v>16.277000000000001</v>
      </c>
      <c r="AC107" s="170">
        <f>(AB107-AB105)/AB105</f>
        <v>4.4354761095106526E-2</v>
      </c>
      <c r="AD107" s="166" t="s">
        <v>150</v>
      </c>
    </row>
    <row r="109" spans="18:42" ht="14.6" thickBot="1" x14ac:dyDescent="0.35">
      <c r="Y109" s="150"/>
    </row>
    <row r="110" spans="18:42" ht="14.6" thickTop="1" x14ac:dyDescent="0.3"/>
  </sheetData>
  <mergeCells count="89">
    <mergeCell ref="AH81:AJ81"/>
    <mergeCell ref="AK81:AM81"/>
    <mergeCell ref="AN81:AP81"/>
    <mergeCell ref="S81:U81"/>
    <mergeCell ref="V81:X81"/>
    <mergeCell ref="Y81:AA81"/>
    <mergeCell ref="AB81:AD81"/>
    <mergeCell ref="AE81:AG81"/>
    <mergeCell ref="AE72:AF72"/>
    <mergeCell ref="AG72:AH72"/>
    <mergeCell ref="S63:U63"/>
    <mergeCell ref="V63:X63"/>
    <mergeCell ref="Y63:AA63"/>
    <mergeCell ref="AB63:AD63"/>
    <mergeCell ref="AE63:AG63"/>
    <mergeCell ref="AH63:AJ63"/>
    <mergeCell ref="S72:T72"/>
    <mergeCell ref="U72:V72"/>
    <mergeCell ref="W72:X72"/>
    <mergeCell ref="Y72:Z72"/>
    <mergeCell ref="T9:V9"/>
    <mergeCell ref="T1:V1"/>
    <mergeCell ref="Q1:S1"/>
    <mergeCell ref="W1:Y1"/>
    <mergeCell ref="Z1:AB1"/>
    <mergeCell ref="Q9:S9"/>
    <mergeCell ref="U25:V25"/>
    <mergeCell ref="U26:V26"/>
    <mergeCell ref="U27:V27"/>
    <mergeCell ref="S19:V19"/>
    <mergeCell ref="S20:V20"/>
    <mergeCell ref="S21:V21"/>
    <mergeCell ref="S22:V22"/>
    <mergeCell ref="S23:V23"/>
    <mergeCell ref="S24:V24"/>
    <mergeCell ref="S30:T30"/>
    <mergeCell ref="S48:T48"/>
    <mergeCell ref="S50:T50"/>
    <mergeCell ref="S35:T35"/>
    <mergeCell ref="S36:T36"/>
    <mergeCell ref="S38:T38"/>
    <mergeCell ref="S42:T42"/>
    <mergeCell ref="S43:T43"/>
    <mergeCell ref="S44:T44"/>
    <mergeCell ref="S45:T45"/>
    <mergeCell ref="S46:T46"/>
    <mergeCell ref="S31:T31"/>
    <mergeCell ref="S32:T32"/>
    <mergeCell ref="S33:T33"/>
    <mergeCell ref="S34:T34"/>
    <mergeCell ref="S47:T47"/>
    <mergeCell ref="B52:D52"/>
    <mergeCell ref="E52:G52"/>
    <mergeCell ref="H52:J52"/>
    <mergeCell ref="K52:M52"/>
    <mergeCell ref="B45:D45"/>
    <mergeCell ref="E45:G45"/>
    <mergeCell ref="H45:J45"/>
    <mergeCell ref="K45:M45"/>
    <mergeCell ref="K1:M1"/>
    <mergeCell ref="H1:J1"/>
    <mergeCell ref="E17:G17"/>
    <mergeCell ref="B1:D1"/>
    <mergeCell ref="E1:G1"/>
    <mergeCell ref="B17:D17"/>
    <mergeCell ref="AK93:AM93"/>
    <mergeCell ref="AN93:AP93"/>
    <mergeCell ref="AE93:AG93"/>
    <mergeCell ref="AH93:AJ93"/>
    <mergeCell ref="B55:D55"/>
    <mergeCell ref="E55:G55"/>
    <mergeCell ref="AA72:AB72"/>
    <mergeCell ref="AC72:AD72"/>
    <mergeCell ref="B63:D63"/>
    <mergeCell ref="E63:G63"/>
    <mergeCell ref="H63:J63"/>
    <mergeCell ref="K63:M63"/>
    <mergeCell ref="AK63:AM63"/>
    <mergeCell ref="AN63:AP63"/>
    <mergeCell ref="B80:C80"/>
    <mergeCell ref="D80:E80"/>
    <mergeCell ref="AB102:AD102"/>
    <mergeCell ref="S102:U102"/>
    <mergeCell ref="V102:X102"/>
    <mergeCell ref="Y102:AA102"/>
    <mergeCell ref="S93:U93"/>
    <mergeCell ref="V93:X93"/>
    <mergeCell ref="Y93:AA93"/>
    <mergeCell ref="AB93:AD9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顾胜达</dc:creator>
  <cp:lastModifiedBy>顾 胜达</cp:lastModifiedBy>
  <dcterms:created xsi:type="dcterms:W3CDTF">2025-04-17T09:38:36Z</dcterms:created>
  <dcterms:modified xsi:type="dcterms:W3CDTF">2026-02-10T06:21:04Z</dcterms:modified>
</cp:coreProperties>
</file>