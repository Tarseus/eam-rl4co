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AS\eam_paper\TEVC\eam-rl4co\results\"/>
    </mc:Choice>
  </mc:AlternateContent>
  <xr:revisionPtr revIDLastSave="0" documentId="13_ncr:1_{3ADFEDD6-427E-4C80-ABCA-6A82C26F689F}" xr6:coauthVersionLast="47" xr6:coauthVersionMax="47" xr10:uidLastSave="{00000000-0000-0000-0000-000000000000}"/>
  <bookViews>
    <workbookView xWindow="-110" yWindow="-217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X3" i="1"/>
  <c r="X2" i="1"/>
  <c r="V3" i="1"/>
  <c r="V2" i="1"/>
  <c r="T3" i="1"/>
  <c r="T4" i="1"/>
  <c r="T5" i="1"/>
  <c r="T2" i="1"/>
  <c r="R3" i="1"/>
  <c r="R4" i="1"/>
  <c r="R5" i="1"/>
  <c r="R2" i="1"/>
  <c r="P3" i="1"/>
  <c r="P4" i="1"/>
  <c r="P5" i="1"/>
  <c r="P6" i="1"/>
  <c r="P7" i="1"/>
  <c r="P2" i="1"/>
  <c r="N3" i="1"/>
  <c r="N4" i="1"/>
  <c r="N5" i="1"/>
  <c r="N6" i="1"/>
  <c r="N7" i="1"/>
  <c r="N2" i="1"/>
  <c r="L3" i="1"/>
  <c r="L4" i="1"/>
  <c r="L5" i="1"/>
  <c r="L6" i="1"/>
  <c r="L7" i="1"/>
  <c r="L2" i="1"/>
  <c r="J3" i="1"/>
  <c r="J4" i="1"/>
  <c r="J5" i="1"/>
  <c r="J6" i="1"/>
  <c r="J7" i="1"/>
</calcChain>
</file>

<file path=xl/sharedStrings.xml><?xml version="1.0" encoding="utf-8"?>
<sst xmlns="http://schemas.openxmlformats.org/spreadsheetml/2006/main" count="89" uniqueCount="17">
  <si>
    <t>model</t>
    <phoneticPr fontId="1" type="noConversion"/>
  </si>
  <si>
    <t>AM</t>
    <phoneticPr fontId="1" type="noConversion"/>
  </si>
  <si>
    <t>problem</t>
    <phoneticPr fontId="1" type="noConversion"/>
  </si>
  <si>
    <t>wall_time_s</t>
    <phoneticPr fontId="1" type="noConversion"/>
  </si>
  <si>
    <t>TSP50</t>
    <phoneticPr fontId="1" type="noConversion"/>
  </si>
  <si>
    <t>TSP100</t>
    <phoneticPr fontId="1" type="noConversion"/>
  </si>
  <si>
    <t>POMO</t>
    <phoneticPr fontId="1" type="noConversion"/>
  </si>
  <si>
    <t>CVRP50</t>
    <phoneticPr fontId="1" type="noConversion"/>
  </si>
  <si>
    <t>CVRP100</t>
    <phoneticPr fontId="1" type="noConversion"/>
  </si>
  <si>
    <t>PCTSP100</t>
    <phoneticPr fontId="1" type="noConversion"/>
  </si>
  <si>
    <t>OP100</t>
    <phoneticPr fontId="1" type="noConversion"/>
  </si>
  <si>
    <t>KP50</t>
    <phoneticPr fontId="1" type="noConversion"/>
  </si>
  <si>
    <t>KP100</t>
    <phoneticPr fontId="1" type="noConversion"/>
  </si>
  <si>
    <t>SymNCO</t>
    <phoneticPr fontId="1" type="noConversion"/>
  </si>
  <si>
    <t>EAM-AM</t>
    <phoneticPr fontId="1" type="noConversion"/>
  </si>
  <si>
    <t>EAM-POMO</t>
    <phoneticPr fontId="1" type="noConversion"/>
  </si>
  <si>
    <t>EAM-SymNCO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</si>
</sst>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workbookViewId="0">
      <selection activeCell="G33" sqref="G33"/>
    </sheetView>
  </sheetViews>
  <sheetFormatPr defaultRowHeight="14.15" x14ac:dyDescent="0.35"/>
  <sheetData>
    <row r="1" spans="1:24" x14ac:dyDescent="0.35">
      <c r="A1" t="s">
        <v>0</v>
      </c>
      <c r="B1" t="s">
        <v>2</v>
      </c>
      <c r="C1" t="s">
        <v>3</v>
      </c>
      <c r="I1" t="s">
        <v>4</v>
      </c>
      <c r="K1" t="s">
        <v>5</v>
      </c>
      <c r="M1" t="s">
        <v>7</v>
      </c>
      <c r="O1" t="s">
        <v>8</v>
      </c>
      <c r="Q1" t="s">
        <v>11</v>
      </c>
      <c r="S1" t="s">
        <v>12</v>
      </c>
      <c r="U1" t="s">
        <v>9</v>
      </c>
      <c r="W1" t="s">
        <v>10</v>
      </c>
    </row>
    <row r="2" spans="1:24" x14ac:dyDescent="0.35">
      <c r="A2" t="s">
        <v>1</v>
      </c>
      <c r="B2" t="s">
        <v>4</v>
      </c>
      <c r="C2">
        <v>422.85599999999999</v>
      </c>
      <c r="H2" t="s">
        <v>1</v>
      </c>
      <c r="I2" s="1">
        <v>117.46</v>
      </c>
      <c r="J2">
        <f>I2/1000 * 3600</f>
        <v>422.85599999999999</v>
      </c>
      <c r="K2" s="1">
        <v>321.43</v>
      </c>
      <c r="L2">
        <f>K2 /1500 * 3600</f>
        <v>771.43200000000002</v>
      </c>
      <c r="M2" s="1">
        <v>178.05</v>
      </c>
      <c r="N2">
        <f>M2 / 1000 * 3600</f>
        <v>640.98</v>
      </c>
      <c r="O2" s="1">
        <v>493.91</v>
      </c>
      <c r="P2">
        <f>O2 / 1500 * 3600</f>
        <v>1185.384</v>
      </c>
      <c r="Q2" s="1">
        <v>0.57499999999999996</v>
      </c>
      <c r="R2">
        <f xml:space="preserve"> Q2 / 10 * 3600</f>
        <v>206.99999999999997</v>
      </c>
      <c r="S2" s="1">
        <v>0.98099999999999998</v>
      </c>
      <c r="T2">
        <f>S2 / 10 * 3600</f>
        <v>353.15999999999997</v>
      </c>
      <c r="U2" s="1">
        <v>38.590000000000003</v>
      </c>
      <c r="V2">
        <f>U2/200 * 3600</f>
        <v>694.62</v>
      </c>
      <c r="W2" s="1">
        <v>36.01</v>
      </c>
      <c r="X2">
        <f>W2 / 200 * 3600</f>
        <v>648.17999999999995</v>
      </c>
    </row>
    <row r="3" spans="1:24" x14ac:dyDescent="0.35">
      <c r="A3" t="s">
        <v>1</v>
      </c>
      <c r="B3" t="s">
        <v>5</v>
      </c>
      <c r="C3">
        <v>771.43200000000002</v>
      </c>
      <c r="H3" t="s">
        <v>14</v>
      </c>
      <c r="I3" s="1">
        <v>121.3</v>
      </c>
      <c r="J3">
        <f t="shared" ref="J3:J7" si="0">I3/1000 * 3600</f>
        <v>436.67999999999995</v>
      </c>
      <c r="K3" s="1">
        <v>332.14</v>
      </c>
      <c r="L3">
        <f t="shared" ref="L3:L7" si="1">K3 /1500 * 3600</f>
        <v>797.13599999999997</v>
      </c>
      <c r="M3" s="1">
        <v>183.7</v>
      </c>
      <c r="N3">
        <f t="shared" ref="N3:N7" si="2">M3 / 1000 * 3600</f>
        <v>661.32</v>
      </c>
      <c r="O3" s="1">
        <v>509.73</v>
      </c>
      <c r="P3">
        <f t="shared" ref="P3:P7" si="3">O3 / 1500 * 3600</f>
        <v>1223.3520000000001</v>
      </c>
      <c r="Q3" s="1">
        <v>0.58899999999999997</v>
      </c>
      <c r="R3">
        <f t="shared" ref="R3:R5" si="4" xml:space="preserve"> Q3 / 10 * 3600</f>
        <v>212.04</v>
      </c>
      <c r="S3" s="1">
        <v>1.012</v>
      </c>
      <c r="T3">
        <f t="shared" ref="T3:T5" si="5">S3 / 10 * 3600</f>
        <v>364.32</v>
      </c>
      <c r="U3" s="1">
        <v>39.18</v>
      </c>
      <c r="V3">
        <f>U3/200 * 3600</f>
        <v>705.24</v>
      </c>
      <c r="W3" s="1">
        <v>37.68</v>
      </c>
      <c r="X3">
        <f>W3 / 200 * 3600</f>
        <v>678.24</v>
      </c>
    </row>
    <row r="4" spans="1:24" x14ac:dyDescent="0.35">
      <c r="A4" t="s">
        <v>1</v>
      </c>
      <c r="B4" t="s">
        <v>7</v>
      </c>
      <c r="C4">
        <v>640.98</v>
      </c>
      <c r="H4" t="s">
        <v>6</v>
      </c>
      <c r="I4" s="1">
        <v>95.73</v>
      </c>
      <c r="J4">
        <f t="shared" si="0"/>
        <v>344.62800000000004</v>
      </c>
      <c r="K4" s="1">
        <v>275</v>
      </c>
      <c r="L4">
        <f t="shared" si="1"/>
        <v>660</v>
      </c>
      <c r="M4" s="1">
        <v>132.38</v>
      </c>
      <c r="N4">
        <f t="shared" si="2"/>
        <v>476.56799999999998</v>
      </c>
      <c r="O4" s="1">
        <v>481.13</v>
      </c>
      <c r="P4">
        <f t="shared" si="3"/>
        <v>1154.712</v>
      </c>
      <c r="Q4" s="1">
        <v>1.0229999999999999</v>
      </c>
      <c r="R4">
        <f t="shared" si="4"/>
        <v>368.28</v>
      </c>
      <c r="S4" s="1">
        <v>2.1669999999999998</v>
      </c>
      <c r="T4">
        <f t="shared" si="5"/>
        <v>780.11999999999989</v>
      </c>
    </row>
    <row r="5" spans="1:24" x14ac:dyDescent="0.35">
      <c r="A5" t="s">
        <v>1</v>
      </c>
      <c r="B5" t="s">
        <v>8</v>
      </c>
      <c r="C5">
        <v>1185.384</v>
      </c>
      <c r="H5" t="s">
        <v>15</v>
      </c>
      <c r="I5" s="1">
        <v>98.51</v>
      </c>
      <c r="J5">
        <f t="shared" si="0"/>
        <v>354.63600000000002</v>
      </c>
      <c r="K5" s="1">
        <v>281.16000000000003</v>
      </c>
      <c r="L5">
        <f t="shared" si="1"/>
        <v>674.78400000000011</v>
      </c>
      <c r="M5" s="1">
        <v>137.91</v>
      </c>
      <c r="N5">
        <f t="shared" si="2"/>
        <v>496.476</v>
      </c>
      <c r="O5" s="1">
        <v>504.99</v>
      </c>
      <c r="P5">
        <f t="shared" si="3"/>
        <v>1211.9760000000001</v>
      </c>
      <c r="Q5" s="1">
        <v>1.0449999999999999</v>
      </c>
      <c r="R5">
        <f t="shared" si="4"/>
        <v>376.2</v>
      </c>
      <c r="S5" s="1">
        <v>2.2389999999999999</v>
      </c>
      <c r="T5">
        <f t="shared" si="5"/>
        <v>806.04</v>
      </c>
    </row>
    <row r="6" spans="1:24" x14ac:dyDescent="0.35">
      <c r="A6" t="s">
        <v>1</v>
      </c>
      <c r="B6" t="s">
        <v>9</v>
      </c>
      <c r="C6">
        <v>694.62</v>
      </c>
      <c r="H6" t="s">
        <v>13</v>
      </c>
      <c r="I6" s="1">
        <v>93.51</v>
      </c>
      <c r="J6">
        <f t="shared" si="0"/>
        <v>336.63600000000002</v>
      </c>
      <c r="K6" s="1">
        <v>390.44</v>
      </c>
      <c r="L6">
        <f t="shared" si="1"/>
        <v>937.05599999999993</v>
      </c>
      <c r="M6" s="1">
        <v>158.1</v>
      </c>
      <c r="N6">
        <f t="shared" si="2"/>
        <v>569.16</v>
      </c>
      <c r="O6" s="1">
        <v>610.54999999999995</v>
      </c>
      <c r="P6">
        <f t="shared" si="3"/>
        <v>1465.32</v>
      </c>
    </row>
    <row r="7" spans="1:24" x14ac:dyDescent="0.35">
      <c r="A7" t="s">
        <v>1</v>
      </c>
      <c r="B7" t="s">
        <v>10</v>
      </c>
      <c r="C7">
        <v>648.17999999999995</v>
      </c>
      <c r="H7" t="s">
        <v>16</v>
      </c>
      <c r="I7" s="1">
        <v>96.754999999999995</v>
      </c>
      <c r="J7">
        <f t="shared" si="0"/>
        <v>348.31799999999998</v>
      </c>
      <c r="K7" s="1">
        <v>402.99</v>
      </c>
      <c r="L7">
        <f t="shared" si="1"/>
        <v>967.17600000000004</v>
      </c>
      <c r="M7" s="1">
        <v>164.1</v>
      </c>
      <c r="N7">
        <f t="shared" si="2"/>
        <v>590.76</v>
      </c>
      <c r="O7" s="1">
        <v>639.88</v>
      </c>
      <c r="P7">
        <f t="shared" si="3"/>
        <v>1535.712</v>
      </c>
    </row>
    <row r="8" spans="1:24" x14ac:dyDescent="0.35">
      <c r="A8" t="s">
        <v>1</v>
      </c>
      <c r="B8" t="s">
        <v>11</v>
      </c>
      <c r="C8">
        <v>206.99999999999997</v>
      </c>
    </row>
    <row r="9" spans="1:24" x14ac:dyDescent="0.35">
      <c r="A9" t="s">
        <v>1</v>
      </c>
      <c r="B9" t="s">
        <v>12</v>
      </c>
      <c r="C9">
        <v>353.15999999999997</v>
      </c>
    </row>
    <row r="10" spans="1:24" x14ac:dyDescent="0.35">
      <c r="A10" t="s">
        <v>6</v>
      </c>
      <c r="B10" t="s">
        <v>4</v>
      </c>
      <c r="C10">
        <v>344.62800000000004</v>
      </c>
    </row>
    <row r="11" spans="1:24" x14ac:dyDescent="0.35">
      <c r="A11" t="s">
        <v>6</v>
      </c>
      <c r="B11" t="s">
        <v>5</v>
      </c>
      <c r="C11">
        <v>660</v>
      </c>
    </row>
    <row r="12" spans="1:24" x14ac:dyDescent="0.35">
      <c r="A12" t="s">
        <v>6</v>
      </c>
      <c r="B12" t="s">
        <v>7</v>
      </c>
      <c r="C12">
        <v>476.56799999999998</v>
      </c>
    </row>
    <row r="13" spans="1:24" x14ac:dyDescent="0.35">
      <c r="A13" t="s">
        <v>6</v>
      </c>
      <c r="B13" t="s">
        <v>8</v>
      </c>
      <c r="C13">
        <v>1154.712</v>
      </c>
    </row>
    <row r="14" spans="1:24" x14ac:dyDescent="0.35">
      <c r="A14" t="s">
        <v>6</v>
      </c>
      <c r="B14" t="s">
        <v>11</v>
      </c>
      <c r="C14">
        <v>368.28</v>
      </c>
    </row>
    <row r="15" spans="1:24" x14ac:dyDescent="0.35">
      <c r="A15" t="s">
        <v>6</v>
      </c>
      <c r="B15" t="s">
        <v>12</v>
      </c>
      <c r="C15">
        <v>780.11999999999989</v>
      </c>
    </row>
    <row r="16" spans="1:24" x14ac:dyDescent="0.35">
      <c r="A16" t="s">
        <v>13</v>
      </c>
      <c r="B16" t="s">
        <v>4</v>
      </c>
      <c r="C16">
        <v>336.63600000000002</v>
      </c>
    </row>
    <row r="17" spans="1:3" x14ac:dyDescent="0.35">
      <c r="A17" t="s">
        <v>13</v>
      </c>
      <c r="B17" t="s">
        <v>5</v>
      </c>
      <c r="C17">
        <v>937.05599999999993</v>
      </c>
    </row>
    <row r="18" spans="1:3" x14ac:dyDescent="0.35">
      <c r="A18" t="s">
        <v>13</v>
      </c>
      <c r="B18" t="s">
        <v>7</v>
      </c>
      <c r="C18">
        <v>569.16</v>
      </c>
    </row>
    <row r="19" spans="1:3" x14ac:dyDescent="0.35">
      <c r="A19" t="s">
        <v>13</v>
      </c>
      <c r="B19" t="s">
        <v>8</v>
      </c>
      <c r="C19">
        <v>1465.32</v>
      </c>
    </row>
    <row r="20" spans="1:3" x14ac:dyDescent="0.35">
      <c r="A20" t="s">
        <v>14</v>
      </c>
      <c r="B20" t="s">
        <v>4</v>
      </c>
      <c r="C20">
        <v>436.67999999999995</v>
      </c>
    </row>
    <row r="21" spans="1:3" x14ac:dyDescent="0.35">
      <c r="A21" t="s">
        <v>14</v>
      </c>
      <c r="B21" t="s">
        <v>5</v>
      </c>
      <c r="C21">
        <v>797.13599999999997</v>
      </c>
    </row>
    <row r="22" spans="1:3" x14ac:dyDescent="0.35">
      <c r="A22" t="s">
        <v>14</v>
      </c>
      <c r="B22" t="s">
        <v>7</v>
      </c>
      <c r="C22">
        <v>661.32</v>
      </c>
    </row>
    <row r="23" spans="1:3" x14ac:dyDescent="0.35">
      <c r="A23" t="s">
        <v>14</v>
      </c>
      <c r="B23" t="s">
        <v>8</v>
      </c>
      <c r="C23">
        <v>1223.3520000000001</v>
      </c>
    </row>
    <row r="24" spans="1:3" x14ac:dyDescent="0.35">
      <c r="A24" t="s">
        <v>14</v>
      </c>
      <c r="B24" t="s">
        <v>9</v>
      </c>
      <c r="C24">
        <v>705.24</v>
      </c>
    </row>
    <row r="25" spans="1:3" x14ac:dyDescent="0.35">
      <c r="A25" t="s">
        <v>14</v>
      </c>
      <c r="B25" t="s">
        <v>10</v>
      </c>
      <c r="C25">
        <v>678.24</v>
      </c>
    </row>
    <row r="26" spans="1:3" x14ac:dyDescent="0.35">
      <c r="A26" t="s">
        <v>14</v>
      </c>
      <c r="B26" t="s">
        <v>11</v>
      </c>
      <c r="C26">
        <v>212.04</v>
      </c>
    </row>
    <row r="27" spans="1:3" x14ac:dyDescent="0.35">
      <c r="A27" t="s">
        <v>14</v>
      </c>
      <c r="B27" t="s">
        <v>12</v>
      </c>
      <c r="C27">
        <v>364.32</v>
      </c>
    </row>
    <row r="28" spans="1:3" x14ac:dyDescent="0.35">
      <c r="A28" t="s">
        <v>15</v>
      </c>
      <c r="B28" t="s">
        <v>4</v>
      </c>
      <c r="C28">
        <v>354.63600000000002</v>
      </c>
    </row>
    <row r="29" spans="1:3" x14ac:dyDescent="0.35">
      <c r="A29" t="s">
        <v>15</v>
      </c>
      <c r="B29" t="s">
        <v>5</v>
      </c>
      <c r="C29">
        <v>674.78400000000011</v>
      </c>
    </row>
    <row r="30" spans="1:3" x14ac:dyDescent="0.35">
      <c r="A30" t="s">
        <v>15</v>
      </c>
      <c r="B30" t="s">
        <v>7</v>
      </c>
      <c r="C30">
        <v>496.476</v>
      </c>
    </row>
    <row r="31" spans="1:3" x14ac:dyDescent="0.35">
      <c r="A31" t="s">
        <v>15</v>
      </c>
      <c r="B31" t="s">
        <v>8</v>
      </c>
      <c r="C31">
        <v>1211.9760000000001</v>
      </c>
    </row>
    <row r="32" spans="1:3" x14ac:dyDescent="0.35">
      <c r="A32" t="s">
        <v>15</v>
      </c>
      <c r="B32" t="s">
        <v>11</v>
      </c>
      <c r="C32">
        <v>376.2</v>
      </c>
    </row>
    <row r="33" spans="1:3" x14ac:dyDescent="0.35">
      <c r="A33" t="s">
        <v>15</v>
      </c>
      <c r="B33" t="s">
        <v>12</v>
      </c>
      <c r="C33">
        <v>806.04</v>
      </c>
    </row>
    <row r="34" spans="1:3" x14ac:dyDescent="0.35">
      <c r="A34" t="s">
        <v>16</v>
      </c>
      <c r="B34" t="s">
        <v>4</v>
      </c>
      <c r="C34">
        <v>348.31799999999998</v>
      </c>
    </row>
    <row r="35" spans="1:3" x14ac:dyDescent="0.35">
      <c r="A35" t="s">
        <v>16</v>
      </c>
      <c r="B35" t="s">
        <v>5</v>
      </c>
      <c r="C35">
        <v>967.17600000000004</v>
      </c>
    </row>
    <row r="36" spans="1:3" x14ac:dyDescent="0.35">
      <c r="A36" t="s">
        <v>16</v>
      </c>
      <c r="B36" t="s">
        <v>7</v>
      </c>
      <c r="C36">
        <v>590.76</v>
      </c>
    </row>
    <row r="37" spans="1:3" x14ac:dyDescent="0.35">
      <c r="A37" t="s">
        <v>16</v>
      </c>
      <c r="B37" t="s">
        <v>8</v>
      </c>
      <c r="C37">
        <v>1535.712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胜达顾</dc:creator>
  <cp:lastModifiedBy>顾 胜达</cp:lastModifiedBy>
  <dcterms:created xsi:type="dcterms:W3CDTF">2015-06-05T18:19:34Z</dcterms:created>
  <dcterms:modified xsi:type="dcterms:W3CDTF">2026-02-09T03:49:15Z</dcterms:modified>
</cp:coreProperties>
</file>